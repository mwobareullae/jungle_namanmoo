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읽는법" sheetId="1" state="visible" r:id="rId1"/>
    <sheet xmlns:r="http://schemas.openxmlformats.org/officeDocument/2006/relationships" name="스코어링_마스터" sheetId="2" state="visible" r:id="rId2"/>
    <sheet xmlns:r="http://schemas.openxmlformats.org/officeDocument/2006/relationships" name="점수공식_정의" sheetId="3" state="visible" r:id="rId3"/>
    <sheet xmlns:r="http://schemas.openxmlformats.org/officeDocument/2006/relationships" name="추적성_점검" sheetId="4" state="visible" r:id="rId4"/>
    <sheet xmlns:r="http://schemas.openxmlformats.org/officeDocument/2006/relationships" name="출처" sheetId="5" state="visible" r:id="rId5"/>
  </sheets>
  <definedNames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</font>
    <font>
      <name val="Arial"/>
      <b val="1"/>
      <color rgb="FFFFFFFF"/>
      <sz val="16"/>
    </font>
    <font>
      <name val="Arial"/>
      <color rgb="FF333333"/>
      <sz val="11"/>
    </font>
    <font>
      <name val="Arial"/>
      <b val="1"/>
      <color rgb="FF000000"/>
      <sz val="11"/>
    </font>
    <font>
      <name val="Arial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D36"/>
      </patternFill>
    </fill>
    <fill>
      <patternFill patternType="solid">
        <fgColor rgb="FFEAF3EC"/>
      </patternFill>
    </fill>
    <fill>
      <patternFill patternType="solid">
        <fgColor rgb="FFD8EAD9"/>
      </patternFill>
    </fill>
    <fill>
      <patternFill patternType="solid">
        <fgColor rgb="FFF7FBF7"/>
      </patternFill>
    </fill>
    <fill>
      <patternFill patternType="solid">
        <fgColor rgb="FFFFF8E6"/>
      </patternFill>
    </fill>
  </fills>
  <borders count="2">
    <border/>
    <border>
      <left style="thin">
        <color rgb="FFE1E8E1"/>
      </left>
      <right style="thin">
        <color rgb="FFE1E8E1"/>
      </right>
      <top style="thin">
        <color rgb="FFE1E8E1"/>
      </top>
      <bottom style="thin">
        <color rgb="FFE1E8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62" customWidth="1" min="3" max="3"/>
    <col width="60" customWidth="1" min="4" max="4"/>
  </cols>
  <sheetData>
    <row r="1" ht="30" customHeight="1">
      <c r="A1" s="1" t="inlineStr">
        <is>
          <t>스코어링 마스터 (최종) — 규제·적용가능성 반영</t>
        </is>
      </c>
    </row>
    <row r="2">
      <c r="A2" s="2" t="inlineStr">
        <is>
          <t>효능×근거×적용가능성×규제 → 함량까지. 신뢰도 산정근거 분리. 담당: 규태</t>
        </is>
      </c>
    </row>
    <row r="4" ht="26" customHeight="1">
      <c r="A4" s="3" t="inlineStr">
        <is>
          <t>구분</t>
        </is>
      </c>
      <c r="B4" s="3" t="inlineStr">
        <is>
          <t>값</t>
        </is>
      </c>
      <c r="C4" s="3" t="inlineStr">
        <is>
          <t>설명</t>
        </is>
      </c>
      <c r="D4" s="3" t="inlineStr">
        <is>
          <t>팀원에게 말할 문장</t>
        </is>
      </c>
    </row>
    <row r="5">
      <c r="A5" s="4" t="inlineStr">
        <is>
          <t>이게 뭔가</t>
        </is>
      </c>
      <c r="B5" s="4" t="inlineStr">
        <is>
          <t>완전 마스터</t>
        </is>
      </c>
      <c r="C5" s="5" t="inlineStr">
        <is>
          <t>효능·근거·적용가능성·규제·함량을 한 표에</t>
        </is>
      </c>
      <c r="D5" s="5" t="inlineStr">
        <is>
          <t>점수 4단계 곱을 한 표에 모았습니다.</t>
        </is>
      </c>
    </row>
    <row r="6">
      <c r="A6" s="4" t="inlineStr">
        <is>
          <t>effect_strength</t>
        </is>
      </c>
      <c r="B6" s="4" t="inlineStr">
        <is>
          <t>추출v2</t>
        </is>
      </c>
      <c r="C6" s="5" t="inlineStr">
        <is>
          <t>효과 크기 0~1</t>
        </is>
      </c>
      <c r="D6" s="5" t="inlineStr">
        <is>
          <t>효과가 얼마나 큰지.</t>
        </is>
      </c>
    </row>
    <row r="7">
      <c r="A7" s="4" t="inlineStr">
        <is>
          <t>evidence_trust</t>
        </is>
      </c>
      <c r="B7" s="4" t="inlineStr">
        <is>
          <t>추출v2</t>
        </is>
      </c>
      <c r="C7" s="5" t="inlineStr">
        <is>
          <t>근거 신뢰도 0~1</t>
        </is>
      </c>
      <c r="D7" s="5" t="inlineStr">
        <is>
          <t>근거가 얼마나 믿을만한지.</t>
        </is>
      </c>
    </row>
    <row r="8">
      <c r="A8" s="4" t="inlineStr">
        <is>
          <t>et_산정근거유형</t>
        </is>
      </c>
      <c r="B8" s="4" t="inlineStr">
        <is>
          <t>신규</t>
        </is>
      </c>
      <c r="C8" s="5" t="inlineStr">
        <is>
          <t>신뢰도를 무엇 기준으로 줬는지(연구유형과 분리)</t>
        </is>
      </c>
      <c r="D8" s="5" t="inlineStr">
        <is>
          <t>기전 논문이라도 고시면 신뢰도를 높인 이유를 명시.</t>
        </is>
      </c>
    </row>
    <row r="9">
      <c r="A9" s="4" t="inlineStr">
        <is>
          <t>rule_weight</t>
        </is>
      </c>
      <c r="B9" s="4" t="inlineStr">
        <is>
          <t>수식 H열</t>
        </is>
      </c>
      <c r="C9" s="5" t="inlineStr">
        <is>
          <t>effect_strength 와 evidence_trust 곱</t>
        </is>
      </c>
      <c r="D9" s="5" t="inlineStr">
        <is>
          <t>효과×신뢰도.</t>
        </is>
      </c>
    </row>
    <row r="10">
      <c r="A10" s="4" t="inlineStr">
        <is>
          <t>applicability_score</t>
        </is>
      </c>
      <c r="B10" s="4" t="inlineStr">
        <is>
          <t>신규 I열</t>
        </is>
      </c>
      <c r="C10" s="5" t="inlineStr">
        <is>
          <t>화장품 적용가능성 0~1(제형·경로·농도)</t>
        </is>
      </c>
      <c r="D10" s="5" t="inlineStr">
        <is>
          <t>바르는 제형에 얼마나 맞는지.</t>
        </is>
      </c>
    </row>
    <row r="11">
      <c r="A11" s="4" t="inlineStr">
        <is>
          <t>regulatory_score</t>
        </is>
      </c>
      <c r="B11" s="4" t="inlineStr">
        <is>
          <t>신규 J열</t>
        </is>
      </c>
      <c r="C11" s="5" t="inlineStr">
        <is>
          <t>규제·안전 0~1(안전성 이슈면 감점)</t>
        </is>
      </c>
      <c r="D11" s="5" t="inlineStr">
        <is>
          <t>규제·안전상 문제 있으면 깎음.</t>
        </is>
      </c>
    </row>
    <row r="12">
      <c r="A12" s="4" t="inlineStr">
        <is>
          <t>조정rule_weight</t>
        </is>
      </c>
      <c r="B12" s="4" t="inlineStr">
        <is>
          <t>수식 K열</t>
        </is>
      </c>
      <c r="C12" s="5" t="inlineStr">
        <is>
          <t>rule_weight × applicability × regulatory</t>
        </is>
      </c>
      <c r="D12" s="5" t="inlineStr">
        <is>
          <t>적용가능성·규제까지 곱한 가중치.</t>
        </is>
      </c>
    </row>
    <row r="13">
      <c r="A13" s="4" t="inlineStr">
        <is>
          <t>함량점수/함량신뢰도</t>
        </is>
      </c>
      <c r="B13" s="4" t="inlineStr">
        <is>
          <t>제품 입력</t>
        </is>
      </c>
      <c r="C13" s="5" t="inlineStr">
        <is>
          <t>제품 함량→0~1, 공개여부 신뢰도</t>
        </is>
      </c>
      <c r="D13" s="5" t="inlineStr">
        <is>
          <t>제품별로 채우는 값(기본 1.0).</t>
        </is>
      </c>
    </row>
    <row r="14">
      <c r="A14" s="4" t="inlineStr">
        <is>
          <t>성분기여점수</t>
        </is>
      </c>
      <c r="B14" s="4" t="inlineStr">
        <is>
          <t>수식 N열</t>
        </is>
      </c>
      <c r="C14" s="5" t="inlineStr">
        <is>
          <t>조정rule_weight × 함량점수 × 함량신뢰도</t>
        </is>
      </c>
      <c r="D14" s="5" t="inlineStr">
        <is>
          <t>제품 점수로 들어가는 성분 점수.</t>
        </is>
      </c>
    </row>
    <row r="15">
      <c r="A15" s="4" t="inlineStr">
        <is>
          <t>개인민감보정</t>
        </is>
      </c>
      <c r="B15" s="4" t="inlineStr">
        <is>
          <t>O열(별도)</t>
        </is>
      </c>
      <c r="C15" s="5" t="inlineStr">
        <is>
          <t>성분기여점수엔 안 넣음. 제품 점수에서 별도 곱</t>
        </is>
      </c>
      <c r="D15" s="5" t="inlineStr">
        <is>
          <t>민감/안전은 효능과 섞지 않고 따로 곱합니다.</t>
        </is>
      </c>
    </row>
    <row r="16">
      <c r="A16" s="4" t="inlineStr">
        <is>
          <t>코직 안전성</t>
        </is>
      </c>
      <c r="B16" s="4" t="inlineStr">
        <is>
          <t>reg 0.5</t>
        </is>
      </c>
      <c r="C16" s="5" t="inlineStr">
        <is>
          <t>안전성 확인중 → regulatory 0.5 감점</t>
        </is>
      </c>
      <c r="D16" s="5" t="inlineStr">
        <is>
          <t>안전성 미확정 성분은 규제 점수로 깎음.</t>
        </is>
      </c>
    </row>
    <row r="17">
      <c r="A17" s="4" t="inlineStr">
        <is>
          <t>징크 PCA</t>
        </is>
      </c>
      <c r="B17" s="4" t="inlineStr">
        <is>
          <t>trust 0.5</t>
        </is>
      </c>
      <c r="C17" s="5" t="inlineStr">
        <is>
          <t>제조사자료 → 신뢰도 0.5 + 보조</t>
        </is>
      </c>
      <c r="D17" s="5" t="inlineStr">
        <is>
          <t>제조사 자료라 신뢰도 보수.</t>
        </is>
      </c>
    </row>
    <row r="18">
      <c r="A18" s="4" t="inlineStr">
        <is>
          <t>다음 단계</t>
        </is>
      </c>
      <c r="B18" s="4" t="inlineStr">
        <is>
          <t>제품 점수</t>
        </is>
      </c>
      <c r="C18" s="5" t="inlineStr">
        <is>
          <t>성분기여점수 → 주70/보조30 noisy-OR → ×개인민감</t>
        </is>
      </c>
      <c r="D18" s="5" t="inlineStr">
        <is>
          <t>제품 클린점수로 갑니다.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22" customWidth="1" min="3" max="3"/>
    <col width="9" customWidth="1" min="4" max="4"/>
    <col width="12" customWidth="1" min="5" max="5"/>
    <col width="12" customWidth="1" min="6" max="6"/>
    <col width="14" customWidth="1" min="7" max="7"/>
    <col width="11" customWidth="1" min="8" max="8"/>
    <col width="13" customWidth="1" min="9" max="9"/>
    <col width="13" customWidth="1" min="10" max="10"/>
    <col width="13" customWidth="1" min="11" max="11"/>
    <col width="9" customWidth="1" min="12" max="12"/>
    <col width="10" customWidth="1" min="13" max="13"/>
    <col width="12" customWidth="1" min="14" max="14"/>
    <col width="11" customWidth="1" min="15" max="15"/>
    <col width="26" customWidth="1" min="16" max="16"/>
    <col width="14" customWidth="1" min="17" max="17"/>
    <col width="6" customWidth="1" min="18" max="18"/>
    <col width="9" customWidth="1" min="19" max="19"/>
    <col width="15" customWidth="1" min="20" max="20"/>
    <col width="11" customWidth="1" min="21" max="21"/>
    <col width="38" customWidth="1" min="22" max="22"/>
    <col width="15" customWidth="1" min="23" max="23"/>
    <col width="30" customWidth="1" min="24" max="24"/>
  </cols>
  <sheetData>
    <row r="1" ht="30" customHeight="1">
      <c r="A1" s="1" t="inlineStr">
        <is>
          <t>스코어링 마스터 (최종) — 성분 × 6축</t>
        </is>
      </c>
    </row>
    <row r="2">
      <c r="A2" s="2" t="inlineStr">
        <is>
          <t>조정rule_weight = (es×et)×적용가능성×규제. 성분기여점수 = 조정rule_weight×함량×함량신뢰도. 민감은 제품단계 별도.</t>
        </is>
      </c>
    </row>
    <row r="4" ht="26" customHeight="1">
      <c r="A4" s="3" t="inlineStr">
        <is>
          <t>성분군</t>
        </is>
      </c>
      <c r="B4" s="3" t="inlineStr">
        <is>
          <t>피부고민(6축)</t>
        </is>
      </c>
      <c r="C4" s="3" t="inlineStr">
        <is>
          <t>효능 주장</t>
        </is>
      </c>
      <c r="D4" s="3" t="inlineStr">
        <is>
          <t>그룹</t>
        </is>
      </c>
      <c r="E4" s="3" t="inlineStr">
        <is>
          <t>effect_strength</t>
        </is>
      </c>
      <c r="F4" s="3" t="inlineStr">
        <is>
          <t>evidence_trust</t>
        </is>
      </c>
      <c r="G4" s="3" t="inlineStr">
        <is>
          <t>et_산정근거유형</t>
        </is>
      </c>
      <c r="H4" s="3" t="inlineStr">
        <is>
          <t>rule_weight</t>
        </is>
      </c>
      <c r="I4" s="3" t="inlineStr">
        <is>
          <t>applicability_score</t>
        </is>
      </c>
      <c r="J4" s="3" t="inlineStr">
        <is>
          <t>regulatory_score</t>
        </is>
      </c>
      <c r="K4" s="3" t="inlineStr">
        <is>
          <t>조정rule_weight</t>
        </is>
      </c>
      <c r="L4" s="3" t="inlineStr">
        <is>
          <t>함량점수</t>
        </is>
      </c>
      <c r="M4" s="3" t="inlineStr">
        <is>
          <t>함량신뢰도</t>
        </is>
      </c>
      <c r="N4" s="3" t="inlineStr">
        <is>
          <t>성분기여점수</t>
        </is>
      </c>
      <c r="O4" s="3" t="inlineStr">
        <is>
          <t>개인민감보정</t>
        </is>
      </c>
      <c r="P4" s="3" t="inlineStr">
        <is>
          <t>효과크기(논문 수치)</t>
        </is>
      </c>
      <c r="Q4" s="3" t="inlineStr">
        <is>
          <t>측정지표</t>
        </is>
      </c>
      <c r="R4" s="3" t="inlineStr">
        <is>
          <t>방향</t>
        </is>
      </c>
      <c r="S4" s="3" t="inlineStr">
        <is>
          <t>단일/복합</t>
        </is>
      </c>
      <c r="T4" s="3" t="inlineStr">
        <is>
          <t>연구유형</t>
        </is>
      </c>
      <c r="U4" s="3" t="inlineStr">
        <is>
          <t>PMID</t>
        </is>
      </c>
      <c r="V4" s="3" t="inlineStr">
        <is>
          <t>URL/공식출처</t>
        </is>
      </c>
      <c r="W4" s="3" t="inlineStr">
        <is>
          <t>es 출처</t>
        </is>
      </c>
      <c r="X4" s="3" t="inlineStr">
        <is>
          <t>메모</t>
        </is>
      </c>
    </row>
    <row r="5">
      <c r="A5" s="6" t="inlineStr">
        <is>
          <t>나이아신아마이드</t>
        </is>
      </c>
      <c r="B5" s="7" t="inlineStr">
        <is>
          <t>미백·톤</t>
        </is>
      </c>
      <c r="C5" s="8" t="inlineStr">
        <is>
          <t>멜라노좀 전달 차단으로 색소 감소</t>
        </is>
      </c>
      <c r="D5" s="7" t="inlineStr">
        <is>
          <t>주성분</t>
        </is>
      </c>
      <c r="E5" s="7" t="n">
        <v>0.7</v>
      </c>
      <c r="F5" s="7" t="n">
        <v>0.85</v>
      </c>
      <c r="G5" s="7" t="inlineStr">
        <is>
          <t>기전+임상</t>
        </is>
      </c>
      <c r="H5" s="7">
        <f>ROUND(E5*F5,3)</f>
        <v/>
      </c>
      <c r="I5" s="7" t="n">
        <v>1</v>
      </c>
      <c r="J5" s="7" t="n">
        <v>1</v>
      </c>
      <c r="K5" s="7">
        <f>ROUND(H5*I5*J5,3)</f>
        <v/>
      </c>
      <c r="L5" s="7" t="n">
        <v>1</v>
      </c>
      <c r="M5" s="7" t="n">
        <v>1</v>
      </c>
      <c r="N5" s="6">
        <f>ROUND(K5*L5*M5,3)</f>
        <v/>
      </c>
      <c r="O5" s="7" t="n">
        <v>1</v>
      </c>
      <c r="P5" s="8" t="inlineStr">
        <is>
          <t>멜라노좀 전달 ↓35~68%, 색소반점 유의 감소</t>
        </is>
      </c>
      <c r="Q5" s="7" t="inlineStr">
        <is>
          <t>멜라닌/색소반점</t>
        </is>
      </c>
      <c r="R5" s="7" t="inlineStr">
        <is>
          <t>↓</t>
        </is>
      </c>
      <c r="S5" s="7" t="inlineStr">
        <is>
          <t>단일</t>
        </is>
      </c>
      <c r="T5" s="7" t="inlineStr">
        <is>
          <t>기전+임상</t>
        </is>
      </c>
      <c r="U5" s="7" t="inlineStr">
        <is>
          <t>12100180</t>
        </is>
      </c>
      <c r="V5" s="8" t="inlineStr">
        <is>
          <t>https://pubmed.ncbi.nlm.nih.gov/12100180/</t>
        </is>
      </c>
      <c r="W5" s="7" t="inlineStr">
        <is>
          <t>추출v2</t>
        </is>
      </c>
      <c r="X5" s="8" t="n"/>
    </row>
    <row r="6">
      <c r="A6" s="6" t="inlineStr">
        <is>
          <t>비타민C</t>
        </is>
      </c>
      <c r="B6" s="7" t="inlineStr">
        <is>
          <t>미백·톤</t>
        </is>
      </c>
      <c r="C6" s="8" t="inlineStr">
        <is>
          <t>멜라스마·색소 개선</t>
        </is>
      </c>
      <c r="D6" s="7" t="inlineStr">
        <is>
          <t>주성분</t>
        </is>
      </c>
      <c r="E6" s="7" t="n">
        <v>0.6</v>
      </c>
      <c r="F6" s="7" t="n">
        <v>0.9</v>
      </c>
      <c r="G6" s="7" t="inlineStr">
        <is>
          <t>메타·SR</t>
        </is>
      </c>
      <c r="H6" s="7">
        <f>ROUND(E6*F6,3)</f>
        <v/>
      </c>
      <c r="I6" s="7" t="n">
        <v>0.8</v>
      </c>
      <c r="J6" s="7" t="n">
        <v>1</v>
      </c>
      <c r="K6" s="7">
        <f>ROUND(H6*I6*J6,3)</f>
        <v/>
      </c>
      <c r="L6" s="7" t="n">
        <v>1</v>
      </c>
      <c r="M6" s="7" t="n">
        <v>1</v>
      </c>
      <c r="N6" s="6">
        <f>ROUND(K6*L6*M6,3)</f>
        <v/>
      </c>
      <c r="O6" s="7" t="n">
        <v>1</v>
      </c>
      <c r="P6" s="8" t="inlineStr">
        <is>
          <t>MASI 개선(SR 종합)</t>
        </is>
      </c>
      <c r="Q6" s="7" t="inlineStr">
        <is>
          <t>MASI/멜라닌</t>
        </is>
      </c>
      <c r="R6" s="7" t="inlineStr">
        <is>
          <t>↓</t>
        </is>
      </c>
      <c r="S6" s="7" t="inlineStr">
        <is>
          <t>단일/혼합</t>
        </is>
      </c>
      <c r="T6" s="7" t="inlineStr">
        <is>
          <t>systematic review</t>
        </is>
      </c>
      <c r="U6" s="7" t="inlineStr">
        <is>
          <t>37128827</t>
        </is>
      </c>
      <c r="V6" s="8" t="inlineStr">
        <is>
          <t>https://pubmed.ncbi.nlm.nih.gov/37128827/</t>
        </is>
      </c>
      <c r="W6" s="7" t="inlineStr">
        <is>
          <t>추출v2</t>
        </is>
      </c>
      <c r="X6" s="8" t="n"/>
    </row>
    <row r="7">
      <c r="A7" s="6" t="inlineStr">
        <is>
          <t>알부틴</t>
        </is>
      </c>
      <c r="B7" s="7" t="inlineStr">
        <is>
          <t>미백·톤</t>
        </is>
      </c>
      <c r="C7" s="8" t="inlineStr">
        <is>
          <t>티로시나아제 억제로 미백</t>
        </is>
      </c>
      <c r="D7" s="7" t="inlineStr">
        <is>
          <t>주성분</t>
        </is>
      </c>
      <c r="E7" s="7" t="n">
        <v>0.6</v>
      </c>
      <c r="F7" s="7" t="n">
        <v>0.75</v>
      </c>
      <c r="G7" s="7" t="inlineStr">
        <is>
          <t>리뷰</t>
        </is>
      </c>
      <c r="H7" s="7">
        <f>ROUND(E7*F7,3)</f>
        <v/>
      </c>
      <c r="I7" s="7" t="n">
        <v>0.8</v>
      </c>
      <c r="J7" s="7" t="n">
        <v>1</v>
      </c>
      <c r="K7" s="7">
        <f>ROUND(H7*I7*J7,3)</f>
        <v/>
      </c>
      <c r="L7" s="7" t="n">
        <v>1</v>
      </c>
      <c r="M7" s="7" t="n">
        <v>1</v>
      </c>
      <c r="N7" s="6">
        <f>ROUND(K7*L7*M7,3)</f>
        <v/>
      </c>
      <c r="O7" s="7" t="n">
        <v>1</v>
      </c>
      <c r="P7" s="8" t="inlineStr">
        <is>
          <t>멜라닌 감소(리뷰), 단독 효과크기 제한적</t>
        </is>
      </c>
      <c r="Q7" s="7" t="inlineStr">
        <is>
          <t>멜라닌</t>
        </is>
      </c>
      <c r="R7" s="7" t="inlineStr">
        <is>
          <t>↓</t>
        </is>
      </c>
      <c r="S7" s="7" t="inlineStr">
        <is>
          <t>단일</t>
        </is>
      </c>
      <c r="T7" s="7" t="inlineStr">
        <is>
          <t>review</t>
        </is>
      </c>
      <c r="U7" s="7" t="inlineStr">
        <is>
          <t>34356362</t>
        </is>
      </c>
      <c r="V7" s="8" t="inlineStr">
        <is>
          <t>https://pubmed.ncbi.nlm.nih.gov/34356362/</t>
        </is>
      </c>
      <c r="W7" s="7" t="inlineStr">
        <is>
          <t>추출v2</t>
        </is>
      </c>
      <c r="X7" s="8" t="n"/>
    </row>
    <row r="8">
      <c r="A8" s="6" t="inlineStr">
        <is>
          <t>트라넥사믹애씨드</t>
        </is>
      </c>
      <c r="B8" s="7" t="inlineStr">
        <is>
          <t>미백·톤</t>
        </is>
      </c>
      <c r="C8" s="8" t="inlineStr">
        <is>
          <t>기미(멜라스마) 개선</t>
        </is>
      </c>
      <c r="D8" s="7" t="inlineStr">
        <is>
          <t>주성분</t>
        </is>
      </c>
      <c r="E8" s="7" t="n">
        <v>0.72</v>
      </c>
      <c r="F8" s="7" t="n">
        <v>0.85</v>
      </c>
      <c r="G8" s="7" t="inlineStr">
        <is>
          <t>메타·SR</t>
        </is>
      </c>
      <c r="H8" s="7">
        <f>ROUND(E8*F8,3)</f>
        <v/>
      </c>
      <c r="I8" s="7" t="n">
        <v>1</v>
      </c>
      <c r="J8" s="7" t="n">
        <v>1</v>
      </c>
      <c r="K8" s="7">
        <f>ROUND(H8*I8*J8,3)</f>
        <v/>
      </c>
      <c r="L8" s="7" t="n">
        <v>1</v>
      </c>
      <c r="M8" s="7" t="n">
        <v>1</v>
      </c>
      <c r="N8" s="6">
        <f>ROUND(K8*L8*M8,3)</f>
        <v/>
      </c>
      <c r="O8" s="7" t="n">
        <v>1</v>
      </c>
      <c r="P8" s="8" t="inlineStr">
        <is>
          <t>mMASI 유의 감소(국소 12주 ~50% 보고)</t>
        </is>
      </c>
      <c r="Q8" s="7" t="inlineStr">
        <is>
          <t>mMASI</t>
        </is>
      </c>
      <c r="R8" s="7" t="inlineStr">
        <is>
          <t>↓</t>
        </is>
      </c>
      <c r="S8" s="7" t="inlineStr">
        <is>
          <t>단일</t>
        </is>
      </c>
      <c r="T8" s="7" t="inlineStr">
        <is>
          <t>meta-analysis</t>
        </is>
      </c>
      <c r="U8" s="7" t="inlineStr">
        <is>
          <t>38843906</t>
        </is>
      </c>
      <c r="V8" s="8" t="inlineStr">
        <is>
          <t>https://pubmed.ncbi.nlm.nih.gov/38843906/</t>
        </is>
      </c>
      <c r="W8" s="7" t="inlineStr">
        <is>
          <t>추출v2</t>
        </is>
      </c>
      <c r="X8" s="8" t="n"/>
    </row>
    <row r="9">
      <c r="A9" s="6" t="inlineStr">
        <is>
          <t>코직애씨드</t>
        </is>
      </c>
      <c r="B9" s="7" t="inlineStr">
        <is>
          <t>미백·톤</t>
        </is>
      </c>
      <c r="C9" s="8" t="inlineStr">
        <is>
          <t>멜라스마 색소 감소</t>
        </is>
      </c>
      <c r="D9" s="7" t="inlineStr">
        <is>
          <t>보조성분</t>
        </is>
      </c>
      <c r="E9" s="7" t="n">
        <v>0.45</v>
      </c>
      <c r="F9" s="7" t="n">
        <v>0.75</v>
      </c>
      <c r="G9" s="7" t="inlineStr">
        <is>
          <t>RCT</t>
        </is>
      </c>
      <c r="H9" s="7">
        <f>ROUND(E9*F9,3)</f>
        <v/>
      </c>
      <c r="I9" s="7" t="n">
        <v>0.8</v>
      </c>
      <c r="J9" s="7" t="n">
        <v>0.5</v>
      </c>
      <c r="K9" s="7">
        <f>ROUND(H9*I9*J9,3)</f>
        <v/>
      </c>
      <c r="L9" s="7" t="n">
        <v>1</v>
      </c>
      <c r="M9" s="7" t="n">
        <v>1</v>
      </c>
      <c r="N9" s="6">
        <f>ROUND(K9*L9*M9,3)</f>
        <v/>
      </c>
      <c r="O9" s="7" t="n">
        <v>1</v>
      </c>
      <c r="P9" s="8" t="inlineStr">
        <is>
          <t>mMASI/반점 유의 감소(2% 세럼)</t>
        </is>
      </c>
      <c r="Q9" s="7" t="inlineStr">
        <is>
          <t>mMASI/반점</t>
        </is>
      </c>
      <c r="R9" s="7" t="inlineStr">
        <is>
          <t>↓</t>
        </is>
      </c>
      <c r="S9" s="7" t="inlineStr">
        <is>
          <t>단일 2%</t>
        </is>
      </c>
      <c r="T9" s="7" t="inlineStr">
        <is>
          <t>RCT(open-label)</t>
        </is>
      </c>
      <c r="U9" s="7" t="n"/>
      <c r="V9" s="8" t="inlineStr">
        <is>
          <t>https://www.sciencedirect.com/science/article/abs/pii/S1773224725003405</t>
        </is>
      </c>
      <c r="W9" s="7" t="inlineStr">
        <is>
          <t>추출v2</t>
        </is>
      </c>
      <c r="X9" s="8" t="inlineStr">
        <is>
          <t>PMID없음→URL·공식출처로 추적 / 안전성 확인중→regulatory 0.5</t>
        </is>
      </c>
    </row>
    <row r="10">
      <c r="A10" s="6" t="inlineStr">
        <is>
          <t>감초추출물/리코리스</t>
        </is>
      </c>
      <c r="B10" s="7" t="inlineStr">
        <is>
          <t>미백·톤</t>
        </is>
      </c>
      <c r="C10" s="8" t="inlineStr">
        <is>
          <t>글라브리딘 미백(고시형)</t>
        </is>
      </c>
      <c r="D10" s="7" t="inlineStr">
        <is>
          <t>주성분</t>
        </is>
      </c>
      <c r="E10" s="7" t="n">
        <v>0.55</v>
      </c>
      <c r="F10" s="7" t="n">
        <v>0.9</v>
      </c>
      <c r="G10" s="7" t="inlineStr">
        <is>
          <t>고시/규제</t>
        </is>
      </c>
      <c r="H10" s="7">
        <f>ROUND(E10*F10,3)</f>
        <v/>
      </c>
      <c r="I10" s="7" t="n">
        <v>1</v>
      </c>
      <c r="J10" s="7" t="n">
        <v>0.85</v>
      </c>
      <c r="K10" s="7">
        <f>ROUND(H10*I10*J10,3)</f>
        <v/>
      </c>
      <c r="L10" s="7" t="n">
        <v>1</v>
      </c>
      <c r="M10" s="7" t="n">
        <v>1</v>
      </c>
      <c r="N10" s="6">
        <f>ROUND(K10*L10*M10,3)</f>
        <v/>
      </c>
      <c r="O10" s="7" t="n">
        <v>1</v>
      </c>
      <c r="P10" s="8" t="inlineStr">
        <is>
          <t>티로시나아제 억제(기전), 고시 0.05%</t>
        </is>
      </c>
      <c r="Q10" s="7" t="inlineStr">
        <is>
          <t>멜라닌</t>
        </is>
      </c>
      <c r="R10" s="7" t="inlineStr">
        <is>
          <t>↓</t>
        </is>
      </c>
      <c r="S10" s="7" t="inlineStr">
        <is>
          <t>단일(고시형)</t>
        </is>
      </c>
      <c r="T10" s="7" t="inlineStr">
        <is>
          <t>기전(in vitro)</t>
        </is>
      </c>
      <c r="U10" s="7" t="inlineStr">
        <is>
          <t>9870547</t>
        </is>
      </c>
      <c r="V10" s="8" t="inlineStr">
        <is>
          <t>https://pubmed.ncbi.nlm.nih.gov/9870547/</t>
        </is>
      </c>
      <c r="W10" s="7" t="inlineStr">
        <is>
          <t>rules_v1 보완(고시형)</t>
        </is>
      </c>
      <c r="X10" s="8" t="inlineStr">
        <is>
          <t>추출v2 미수록(고시형)→rules_v1 보완</t>
        </is>
      </c>
    </row>
    <row r="11">
      <c r="A11" s="6" t="inlineStr">
        <is>
          <t>비사보롤</t>
        </is>
      </c>
      <c r="B11" s="7" t="inlineStr">
        <is>
          <t>미백·톤</t>
        </is>
      </c>
      <c r="C11" s="8" t="inlineStr">
        <is>
          <t>알파-비사보롤 미백(고시형)</t>
        </is>
      </c>
      <c r="D11" s="7" t="inlineStr">
        <is>
          <t>주성분</t>
        </is>
      </c>
      <c r="E11" s="7" t="n">
        <v>0.55</v>
      </c>
      <c r="F11" s="7" t="n">
        <v>0.9</v>
      </c>
      <c r="G11" s="7" t="inlineStr">
        <is>
          <t>고시/규제</t>
        </is>
      </c>
      <c r="H11" s="7">
        <f>ROUND(E11*F11,3)</f>
        <v/>
      </c>
      <c r="I11" s="7" t="n">
        <v>0.8</v>
      </c>
      <c r="J11" s="7" t="n">
        <v>0.85</v>
      </c>
      <c r="K11" s="7">
        <f>ROUND(H11*I11*J11,3)</f>
        <v/>
      </c>
      <c r="L11" s="7" t="n">
        <v>1</v>
      </c>
      <c r="M11" s="7" t="n">
        <v>1</v>
      </c>
      <c r="N11" s="6">
        <f>ROUND(K11*L11*M11,3)</f>
        <v/>
      </c>
      <c r="O11" s="7" t="n">
        <v>1</v>
      </c>
      <c r="P11" s="8" t="inlineStr">
        <is>
          <t>0.5% 8주 UV색소 미백(고시 기반)</t>
        </is>
      </c>
      <c r="Q11" s="7" t="inlineStr">
        <is>
          <t>멜라닌</t>
        </is>
      </c>
      <c r="R11" s="7" t="inlineStr">
        <is>
          <t>↓</t>
        </is>
      </c>
      <c r="S11" s="7" t="inlineStr">
        <is>
          <t>단일(고시형)</t>
        </is>
      </c>
      <c r="T11" s="7" t="inlineStr">
        <is>
          <t>규제/고시</t>
        </is>
      </c>
      <c r="U11" s="7" t="n"/>
      <c r="V11" s="8" t="inlineStr">
        <is>
          <t>https://www.law.go.kr/LSW//admRulInfoP.do?admRulSeq=2100000196467&amp;chrClsCd=010201</t>
        </is>
      </c>
      <c r="W11" s="7" t="inlineStr">
        <is>
          <t>rules_v1 보완(고시형)</t>
        </is>
      </c>
      <c r="X11" s="8" t="inlineStr">
        <is>
          <t>추출v2 미수록(고시형)→rules_v1 보완 / PMID없음→URL·공식출처로 추적</t>
        </is>
      </c>
    </row>
    <row r="12">
      <c r="A12" s="9" t="inlineStr">
        <is>
          <t>레티놀</t>
        </is>
      </c>
      <c r="B12" s="4" t="inlineStr">
        <is>
          <t>주름·탄력</t>
        </is>
      </c>
      <c r="C12" s="5" t="inlineStr">
        <is>
          <t>주름 개선</t>
        </is>
      </c>
      <c r="D12" s="4" t="inlineStr">
        <is>
          <t>주성분</t>
        </is>
      </c>
      <c r="E12" s="4" t="n">
        <v>0.55</v>
      </c>
      <c r="F12" s="4" t="n">
        <v>0.85</v>
      </c>
      <c r="G12" s="4" t="inlineStr">
        <is>
          <t>RCT</t>
        </is>
      </c>
      <c r="H12" s="4">
        <f>ROUND(E12*F12,3)</f>
        <v/>
      </c>
      <c r="I12" s="4" t="n">
        <v>1</v>
      </c>
      <c r="J12" s="4" t="n">
        <v>0.85</v>
      </c>
      <c r="K12" s="4">
        <f>ROUND(H12*I12*J12,3)</f>
        <v/>
      </c>
      <c r="L12" s="4" t="n">
        <v>1</v>
      </c>
      <c r="M12" s="4" t="n">
        <v>1</v>
      </c>
      <c r="N12" s="9">
        <f>ROUND(K12*L12*M12,3)</f>
        <v/>
      </c>
      <c r="O12" s="4" t="n">
        <v>1</v>
      </c>
      <c r="P12" s="5" t="inlineStr">
        <is>
          <t>주름 ↓4.11%(vs bakuchiol)</t>
        </is>
      </c>
      <c r="Q12" s="4" t="inlineStr">
        <is>
          <t>주름 면적/깊이</t>
        </is>
      </c>
      <c r="R12" s="4" t="inlineStr">
        <is>
          <t>↓</t>
        </is>
      </c>
      <c r="S12" s="4" t="inlineStr">
        <is>
          <t>단일</t>
        </is>
      </c>
      <c r="T12" s="4" t="inlineStr">
        <is>
          <t>RCT</t>
        </is>
      </c>
      <c r="U12" s="4" t="inlineStr">
        <is>
          <t>29947134</t>
        </is>
      </c>
      <c r="V12" s="5" t="inlineStr">
        <is>
          <t>https://pubmed.ncbi.nlm.nih.gov/29947134/</t>
        </is>
      </c>
      <c r="W12" s="4" t="inlineStr">
        <is>
          <t>추출v2</t>
        </is>
      </c>
      <c r="X12" s="5" t="n"/>
    </row>
    <row r="13">
      <c r="A13" s="9" t="inlineStr">
        <is>
          <t>레티날</t>
        </is>
      </c>
      <c r="B13" s="4" t="inlineStr">
        <is>
          <t>주름·탄력</t>
        </is>
      </c>
      <c r="C13" s="5" t="inlineStr">
        <is>
          <t>미세주름 개선(레티놀보다 강)</t>
        </is>
      </c>
      <c r="D13" s="4" t="inlineStr">
        <is>
          <t>주성분</t>
        </is>
      </c>
      <c r="E13" s="4" t="n">
        <v>0.72</v>
      </c>
      <c r="F13" s="4" t="n">
        <v>0.85</v>
      </c>
      <c r="G13" s="4" t="inlineStr">
        <is>
          <t>RCT</t>
        </is>
      </c>
      <c r="H13" s="4">
        <f>ROUND(E13*F13,3)</f>
        <v/>
      </c>
      <c r="I13" s="4" t="n">
        <v>1</v>
      </c>
      <c r="J13" s="4" t="n">
        <v>0.85</v>
      </c>
      <c r="K13" s="4">
        <f>ROUND(H13*I13*J13,3)</f>
        <v/>
      </c>
      <c r="L13" s="4" t="n">
        <v>1</v>
      </c>
      <c r="M13" s="4" t="n">
        <v>1</v>
      </c>
      <c r="N13" s="9">
        <f>ROUND(K13*L13*M13,3)</f>
        <v/>
      </c>
      <c r="O13" s="4" t="n">
        <v>1</v>
      </c>
      <c r="P13" s="5" t="inlineStr">
        <is>
          <t>미세주름 ↓14%</t>
        </is>
      </c>
      <c r="Q13" s="4" t="inlineStr">
        <is>
          <t>미세주름</t>
        </is>
      </c>
      <c r="R13" s="4" t="inlineStr">
        <is>
          <t>↓</t>
        </is>
      </c>
      <c r="S13" s="4" t="inlineStr">
        <is>
          <t>단일</t>
        </is>
      </c>
      <c r="T13" s="4" t="inlineStr">
        <is>
          <t>randomized double-blind controlled trial</t>
        </is>
      </c>
      <c r="U13" s="4" t="inlineStr">
        <is>
          <t>29663701</t>
        </is>
      </c>
      <c r="V13" s="5" t="inlineStr">
        <is>
          <t>https://pubmed.ncbi.nlm.nih.gov/29663701/</t>
        </is>
      </c>
      <c r="W13" s="4" t="inlineStr">
        <is>
          <t>추출v2</t>
        </is>
      </c>
      <c r="X13" s="5" t="n"/>
    </row>
    <row r="14">
      <c r="A14" s="9" t="inlineStr">
        <is>
          <t>아데노신</t>
        </is>
      </c>
      <c r="B14" s="4" t="inlineStr">
        <is>
          <t>주름·탄력</t>
        </is>
      </c>
      <c r="C14" s="5" t="inlineStr">
        <is>
          <t>주름 개선(고시형)</t>
        </is>
      </c>
      <c r="D14" s="4" t="inlineStr">
        <is>
          <t>주성분</t>
        </is>
      </c>
      <c r="E14" s="4" t="n">
        <v>0.5</v>
      </c>
      <c r="F14" s="4" t="n">
        <v>0.95</v>
      </c>
      <c r="G14" s="4" t="inlineStr">
        <is>
          <t>고시/규제</t>
        </is>
      </c>
      <c r="H14" s="4">
        <f>ROUND(E14*F14,3)</f>
        <v/>
      </c>
      <c r="I14" s="4" t="n">
        <v>1</v>
      </c>
      <c r="J14" s="4" t="n">
        <v>1</v>
      </c>
      <c r="K14" s="4">
        <f>ROUND(H14*I14*J14,3)</f>
        <v/>
      </c>
      <c r="L14" s="4" t="n">
        <v>1</v>
      </c>
      <c r="M14" s="4" t="n">
        <v>1</v>
      </c>
      <c r="N14" s="9">
        <f>ROUND(K14*L14*M14,3)</f>
        <v/>
      </c>
      <c r="O14" s="4" t="n">
        <v>1</v>
      </c>
      <c r="P14" s="5" t="inlineStr">
        <is>
          <t>주름개선 고시(0.04%)</t>
        </is>
      </c>
      <c r="Q14" s="4" t="inlineStr">
        <is>
          <t>주름</t>
        </is>
      </c>
      <c r="R14" s="4" t="inlineStr">
        <is>
          <t>↓</t>
        </is>
      </c>
      <c r="S14" s="4" t="inlineStr">
        <is>
          <t>단일(고시형)</t>
        </is>
      </c>
      <c r="T14" s="4" t="inlineStr">
        <is>
          <t>regulatory</t>
        </is>
      </c>
      <c r="U14" s="4" t="n"/>
      <c r="V14" s="5" t="inlineStr">
        <is>
          <t>https://mfds.go.kr/brd/m_207/view.do?seq=2709</t>
        </is>
      </c>
      <c r="W14" s="4" t="inlineStr">
        <is>
          <t>추출v2</t>
        </is>
      </c>
      <c r="X14" s="5" t="inlineStr">
        <is>
          <t>PMID없음→URL·공식출처로 추적</t>
        </is>
      </c>
    </row>
    <row r="15">
      <c r="A15" s="9" t="inlineStr">
        <is>
          <t>펩타이드</t>
        </is>
      </c>
      <c r="B15" s="4" t="inlineStr">
        <is>
          <t>주름·탄력</t>
        </is>
      </c>
      <c r="C15" s="5" t="inlineStr">
        <is>
          <t>광노화 주름·결 개선</t>
        </is>
      </c>
      <c r="D15" s="4" t="inlineStr">
        <is>
          <t>주성분</t>
        </is>
      </c>
      <c r="E15" s="4" t="n">
        <v>0.45</v>
      </c>
      <c r="F15" s="4" t="n">
        <v>0.8</v>
      </c>
      <c r="G15" s="4" t="inlineStr">
        <is>
          <t>임상</t>
        </is>
      </c>
      <c r="H15" s="4">
        <f>ROUND(E15*F15,3)</f>
        <v/>
      </c>
      <c r="I15" s="4" t="n">
        <v>1</v>
      </c>
      <c r="J15" s="4" t="n">
        <v>1</v>
      </c>
      <c r="K15" s="4">
        <f>ROUND(H15*I15*J15,3)</f>
        <v/>
      </c>
      <c r="L15" s="4" t="n">
        <v>1</v>
      </c>
      <c r="M15" s="4" t="n">
        <v>1</v>
      </c>
      <c r="N15" s="9">
        <f>ROUND(K15*L15*M15,3)</f>
        <v/>
      </c>
      <c r="O15" s="4" t="n">
        <v>1</v>
      </c>
      <c r="P15" s="5" t="inlineStr">
        <is>
          <t>주름·결 개선(시그널 펩타이드)</t>
        </is>
      </c>
      <c r="Q15" s="4" t="inlineStr">
        <is>
          <t>주름/결</t>
        </is>
      </c>
      <c r="R15" s="4" t="inlineStr">
        <is>
          <t>↓</t>
        </is>
      </c>
      <c r="S15" s="4" t="inlineStr">
        <is>
          <t>단일(pal-KTTKS)</t>
        </is>
      </c>
      <c r="T15" s="4" t="inlineStr">
        <is>
          <t>임상(대조)</t>
        </is>
      </c>
      <c r="U15" s="4" t="inlineStr">
        <is>
          <t>18492182</t>
        </is>
      </c>
      <c r="V15" s="5" t="inlineStr">
        <is>
          <t>https://pubmed.ncbi.nlm.nih.gov/18492182/</t>
        </is>
      </c>
      <c r="W15" s="4" t="inlineStr">
        <is>
          <t>추출v2</t>
        </is>
      </c>
      <c r="X15" s="5" t="n"/>
    </row>
    <row r="16">
      <c r="A16" s="10" t="inlineStr">
        <is>
          <t>살리실산/BHA</t>
        </is>
      </c>
      <c r="B16" s="11" t="inlineStr">
        <is>
          <t>여드름·피지</t>
        </is>
      </c>
      <c r="C16" s="12" t="inlineStr">
        <is>
          <t>여드름·피지·각질 개선</t>
        </is>
      </c>
      <c r="D16" s="11" t="inlineStr">
        <is>
          <t>주성분</t>
        </is>
      </c>
      <c r="E16" s="11" t="n">
        <v>0.65</v>
      </c>
      <c r="F16" s="11" t="n">
        <v>0.85</v>
      </c>
      <c r="G16" s="11" t="inlineStr">
        <is>
          <t>가이드라인</t>
        </is>
      </c>
      <c r="H16" s="11">
        <f>ROUND(E16*F16,3)</f>
        <v/>
      </c>
      <c r="I16" s="11" t="n">
        <v>1</v>
      </c>
      <c r="J16" s="11" t="n">
        <v>0.85</v>
      </c>
      <c r="K16" s="11">
        <f>ROUND(H16*I16*J16,3)</f>
        <v/>
      </c>
      <c r="L16" s="11" t="n">
        <v>1</v>
      </c>
      <c r="M16" s="11" t="n">
        <v>1</v>
      </c>
      <c r="N16" s="10">
        <f>ROUND(K16*L16*M16,3)</f>
        <v/>
      </c>
      <c r="O16" s="11" t="n">
        <v>1</v>
      </c>
      <c r="P16" s="12" t="inlineStr">
        <is>
          <t>가이드라인 권고; IGA↓~24%·피지↓~24%(보조)</t>
        </is>
      </c>
      <c r="Q16" s="11" t="inlineStr">
        <is>
          <t>IGA/피지</t>
        </is>
      </c>
      <c r="R16" s="11" t="inlineStr">
        <is>
          <t>↓</t>
        </is>
      </c>
      <c r="S16" s="11" t="inlineStr">
        <is>
          <t>단일</t>
        </is>
      </c>
      <c r="T16" s="11" t="inlineStr">
        <is>
          <t>진료가이드라인</t>
        </is>
      </c>
      <c r="U16" s="11" t="inlineStr">
        <is>
          <t>38300170</t>
        </is>
      </c>
      <c r="V16" s="12" t="inlineStr">
        <is>
          <t>https://pubmed.ncbi.nlm.nih.gov/38300170/</t>
        </is>
      </c>
      <c r="W16" s="11" t="inlineStr">
        <is>
          <t>추출v2</t>
        </is>
      </c>
      <c r="X16" s="12" t="n"/>
    </row>
    <row r="17">
      <c r="A17" s="10" t="inlineStr">
        <is>
          <t>징크 PCA</t>
        </is>
      </c>
      <c r="B17" s="11" t="inlineStr">
        <is>
          <t>여드름·피지</t>
        </is>
      </c>
      <c r="C17" s="12" t="inlineStr">
        <is>
          <t>피지 조절</t>
        </is>
      </c>
      <c r="D17" s="11" t="inlineStr">
        <is>
          <t>보조성분</t>
        </is>
      </c>
      <c r="E17" s="11" t="n">
        <v>0.38</v>
      </c>
      <c r="F17" s="11" t="n">
        <v>0.5</v>
      </c>
      <c r="G17" s="11" t="inlineStr">
        <is>
          <t>제조사자료</t>
        </is>
      </c>
      <c r="H17" s="11">
        <f>ROUND(E17*F17,3)</f>
        <v/>
      </c>
      <c r="I17" s="11" t="n">
        <v>0.8</v>
      </c>
      <c r="J17" s="11" t="n">
        <v>0.85</v>
      </c>
      <c r="K17" s="11">
        <f>ROUND(H17*I17*J17,3)</f>
        <v/>
      </c>
      <c r="L17" s="11" t="n">
        <v>1</v>
      </c>
      <c r="M17" s="11" t="n">
        <v>1</v>
      </c>
      <c r="N17" s="10">
        <f>ROUND(K17*L17*M17,3)</f>
        <v/>
      </c>
      <c r="O17" s="11" t="n">
        <v>1</v>
      </c>
      <c r="P17" s="12" t="inlineStr">
        <is>
          <t>피지 유의 감소(1%, 28일)</t>
        </is>
      </c>
      <c r="Q17" s="11" t="inlineStr">
        <is>
          <t>피지(sebumeter)</t>
        </is>
      </c>
      <c r="R17" s="11" t="inlineStr">
        <is>
          <t>↓</t>
        </is>
      </c>
      <c r="S17" s="11" t="inlineStr">
        <is>
          <t>단일 1%</t>
        </is>
      </c>
      <c r="T17" s="11" t="inlineStr">
        <is>
          <t>임상(제조사,단일)</t>
        </is>
      </c>
      <c r="U17" s="11" t="n"/>
      <c r="V17" s="12" t="inlineStr">
        <is>
          <t>https://incidecoder.com/products/for-skins-sake-liquid-cream-moisturizer-with-zinc-pca-1-squalane</t>
        </is>
      </c>
      <c r="W17" s="11" t="inlineStr">
        <is>
          <t>추출v2</t>
        </is>
      </c>
      <c r="X17" s="12" t="inlineStr">
        <is>
          <t>제조사자료 → trust 0.5 + 보조점수 하향(지적 반영) / PMID없음→URL·공식출처로 추적</t>
        </is>
      </c>
    </row>
    <row r="18">
      <c r="A18" s="10" t="inlineStr">
        <is>
          <t>녹차/그린티</t>
        </is>
      </c>
      <c r="B18" s="11" t="inlineStr">
        <is>
          <t>여드름·피지</t>
        </is>
      </c>
      <c r="C18" s="12" t="inlineStr">
        <is>
          <t>염증성 여드름 감소</t>
        </is>
      </c>
      <c r="D18" s="11" t="inlineStr">
        <is>
          <t>보조성분</t>
        </is>
      </c>
      <c r="E18" s="11" t="n">
        <v>0.45</v>
      </c>
      <c r="F18" s="11" t="n">
        <v>0.9</v>
      </c>
      <c r="G18" s="11" t="inlineStr">
        <is>
          <t>메타·SR</t>
        </is>
      </c>
      <c r="H18" s="11">
        <f>ROUND(E18*F18,3)</f>
        <v/>
      </c>
      <c r="I18" s="11" t="n">
        <v>1</v>
      </c>
      <c r="J18" s="11" t="n">
        <v>1</v>
      </c>
      <c r="K18" s="11">
        <f>ROUND(H18*I18*J18,3)</f>
        <v/>
      </c>
      <c r="L18" s="11" t="n">
        <v>1</v>
      </c>
      <c r="M18" s="11" t="n">
        <v>1</v>
      </c>
      <c r="N18" s="10">
        <f>ROUND(K18*L18*M18,3)</f>
        <v/>
      </c>
      <c r="O18" s="11" t="n">
        <v>1</v>
      </c>
      <c r="P18" s="12" t="inlineStr">
        <is>
          <t>국소 염증병변 ↓11.39(SR); 2%로션 6주 개선</t>
        </is>
      </c>
      <c r="Q18" s="11" t="inlineStr">
        <is>
          <t>염증병변 수</t>
        </is>
      </c>
      <c r="R18" s="11" t="inlineStr">
        <is>
          <t>↓</t>
        </is>
      </c>
      <c r="S18" s="11" t="inlineStr">
        <is>
          <t>단일(국소2%)</t>
        </is>
      </c>
      <c r="T18" s="11" t="inlineStr">
        <is>
          <t>임상(국소 RCT)</t>
        </is>
      </c>
      <c r="U18" s="11" t="inlineStr">
        <is>
          <t>19363854</t>
        </is>
      </c>
      <c r="V18" s="12" t="inlineStr">
        <is>
          <t>https://pubmed.ncbi.nlm.nih.gov/19363854/</t>
        </is>
      </c>
      <c r="W18" s="11" t="inlineStr">
        <is>
          <t>추출v2</t>
        </is>
      </c>
      <c r="X18" s="12" t="inlineStr">
        <is>
          <t>효과크기 11.39는 SR 출처→et근거 SR</t>
        </is>
      </c>
    </row>
    <row r="19">
      <c r="A19" s="10" t="inlineStr">
        <is>
          <t>티트리/멜라루카</t>
        </is>
      </c>
      <c r="B19" s="11" t="inlineStr">
        <is>
          <t>여드름·피지</t>
        </is>
      </c>
      <c r="C19" s="12" t="inlineStr">
        <is>
          <t>여드름 병변 감소</t>
        </is>
      </c>
      <c r="D19" s="11" t="inlineStr">
        <is>
          <t>주성분</t>
        </is>
      </c>
      <c r="E19" s="11" t="n">
        <v>0.55</v>
      </c>
      <c r="F19" s="11" t="n">
        <v>0.85</v>
      </c>
      <c r="G19" s="11" t="inlineStr">
        <is>
          <t>메타·SR</t>
        </is>
      </c>
      <c r="H19" s="11">
        <f>ROUND(E19*F19,3)</f>
        <v/>
      </c>
      <c r="I19" s="11" t="n">
        <v>1</v>
      </c>
      <c r="J19" s="11" t="n">
        <v>0.85</v>
      </c>
      <c r="K19" s="11">
        <f>ROUND(H19*I19*J19,3)</f>
        <v/>
      </c>
      <c r="L19" s="11" t="n">
        <v>1</v>
      </c>
      <c r="M19" s="11" t="n">
        <v>1</v>
      </c>
      <c r="N19" s="10">
        <f>ROUND(K19*L19*M19,3)</f>
        <v/>
      </c>
      <c r="O19" s="11" t="n">
        <v>1</v>
      </c>
      <c r="P19" s="12" t="inlineStr">
        <is>
          <t>병변 유의 감소(5% 위약대비 ~3.55배)</t>
        </is>
      </c>
      <c r="Q19" s="11" t="inlineStr">
        <is>
          <t>병변 수</t>
        </is>
      </c>
      <c r="R19" s="11" t="inlineStr">
        <is>
          <t>↓</t>
        </is>
      </c>
      <c r="S19" s="11" t="inlineStr">
        <is>
          <t>단일</t>
        </is>
      </c>
      <c r="T19" s="11" t="inlineStr">
        <is>
          <t>systematic review</t>
        </is>
      </c>
      <c r="U19" s="11" t="inlineStr">
        <is>
          <t>37033604</t>
        </is>
      </c>
      <c r="V19" s="12" t="inlineStr">
        <is>
          <t>https://pubmed.ncbi.nlm.nih.gov/37033604/</t>
        </is>
      </c>
      <c r="W19" s="11" t="inlineStr">
        <is>
          <t>추출v2</t>
        </is>
      </c>
      <c r="X19" s="12" t="n"/>
    </row>
    <row r="20">
      <c r="A20" s="6" t="inlineStr">
        <is>
          <t>히알루론산</t>
        </is>
      </c>
      <c r="B20" s="7" t="inlineStr">
        <is>
          <t>보습·장벽</t>
        </is>
      </c>
      <c r="C20" s="8" t="inlineStr">
        <is>
          <t>피부 수분 증가</t>
        </is>
      </c>
      <c r="D20" s="7" t="inlineStr">
        <is>
          <t>주성분</t>
        </is>
      </c>
      <c r="E20" s="7" t="n">
        <v>0.8</v>
      </c>
      <c r="F20" s="7" t="n">
        <v>0.85</v>
      </c>
      <c r="G20" s="7" t="inlineStr">
        <is>
          <t>RCT</t>
        </is>
      </c>
      <c r="H20" s="7">
        <f>ROUND(E20*F20,3)</f>
        <v/>
      </c>
      <c r="I20" s="7" t="n">
        <v>1</v>
      </c>
      <c r="J20" s="7" t="n">
        <v>1</v>
      </c>
      <c r="K20" s="7">
        <f>ROUND(H20*I20*J20,3)</f>
        <v/>
      </c>
      <c r="L20" s="7" t="n">
        <v>1</v>
      </c>
      <c r="M20" s="7" t="n">
        <v>1</v>
      </c>
      <c r="N20" s="6">
        <f>ROUND(K20*L20*M20,3)</f>
        <v/>
      </c>
      <c r="O20" s="7" t="n">
        <v>1</v>
      </c>
      <c r="P20" s="8" t="inlineStr">
        <is>
          <t>수분 +134%(즉시)/+55%(6주)</t>
        </is>
      </c>
      <c r="Q20" s="7" t="inlineStr">
        <is>
          <t>수분(corneometer)</t>
        </is>
      </c>
      <c r="R20" s="7" t="inlineStr">
        <is>
          <t>↑</t>
        </is>
      </c>
      <c r="S20" s="7" t="inlineStr">
        <is>
          <t>단일</t>
        </is>
      </c>
      <c r="T20" s="7" t="inlineStr">
        <is>
          <t>RCT</t>
        </is>
      </c>
      <c r="U20" s="7" t="inlineStr">
        <is>
          <t>38829483</t>
        </is>
      </c>
      <c r="V20" s="8" t="inlineStr">
        <is>
          <t>https://pubmed.ncbi.nlm.nih.gov/38829483/</t>
        </is>
      </c>
      <c r="W20" s="7" t="inlineStr">
        <is>
          <t>추출v2</t>
        </is>
      </c>
      <c r="X20" s="8" t="n"/>
    </row>
    <row r="21">
      <c r="A21" s="6" t="inlineStr">
        <is>
          <t>글리세린</t>
        </is>
      </c>
      <c r="B21" s="7" t="inlineStr">
        <is>
          <t>보습·장벽</t>
        </is>
      </c>
      <c r="C21" s="8" t="inlineStr">
        <is>
          <t>수분 공급·건조 개선</t>
        </is>
      </c>
      <c r="D21" s="7" t="inlineStr">
        <is>
          <t>주성분</t>
        </is>
      </c>
      <c r="E21" s="7" t="n">
        <v>0.7</v>
      </c>
      <c r="F21" s="7" t="n">
        <v>0.85</v>
      </c>
      <c r="G21" s="7" t="inlineStr">
        <is>
          <t>메타·SR</t>
        </is>
      </c>
      <c r="H21" s="7">
        <f>ROUND(E21*F21,3)</f>
        <v/>
      </c>
      <c r="I21" s="7" t="n">
        <v>0.8</v>
      </c>
      <c r="J21" s="7" t="n">
        <v>1</v>
      </c>
      <c r="K21" s="7">
        <f>ROUND(H21*I21*J21,3)</f>
        <v/>
      </c>
      <c r="L21" s="7" t="n">
        <v>1</v>
      </c>
      <c r="M21" s="7" t="n">
        <v>1</v>
      </c>
      <c r="N21" s="6">
        <f>ROUND(K21*L21*M21,3)</f>
        <v/>
      </c>
      <c r="O21" s="7" t="n">
        <v>1</v>
      </c>
      <c r="P21" s="8" t="inlineStr">
        <is>
          <t>수분 ↑·건조 개선(보습제 종합)</t>
        </is>
      </c>
      <c r="Q21" s="7" t="inlineStr">
        <is>
          <t>수분</t>
        </is>
      </c>
      <c r="R21" s="7" t="inlineStr">
        <is>
          <t>↑</t>
        </is>
      </c>
      <c r="S21" s="7" t="inlineStr">
        <is>
          <t>단일/혼합</t>
        </is>
      </c>
      <c r="T21" s="7" t="inlineStr">
        <is>
          <t>Cochrane evidence</t>
        </is>
      </c>
      <c r="U21" s="7" t="n"/>
      <c r="V21" s="8" t="inlineStr">
        <is>
          <t>https://www.cochrane.org/evidence/CD012119_emollients-and-moisturisers-eczema</t>
        </is>
      </c>
      <c r="W21" s="7" t="inlineStr">
        <is>
          <t>추출v2</t>
        </is>
      </c>
      <c r="X21" s="8" t="inlineStr">
        <is>
          <t>PMID없음→URL·공식출처로 추적</t>
        </is>
      </c>
    </row>
    <row r="22">
      <c r="A22" s="6" t="inlineStr">
        <is>
          <t>판테놀</t>
        </is>
      </c>
      <c r="B22" s="7" t="inlineStr">
        <is>
          <t>보습·장벽</t>
        </is>
      </c>
      <c r="C22" s="8" t="inlineStr">
        <is>
          <t>수분 공급·장벽 보조</t>
        </is>
      </c>
      <c r="D22" s="7" t="inlineStr">
        <is>
          <t>주성분</t>
        </is>
      </c>
      <c r="E22" s="7" t="n">
        <v>0.6</v>
      </c>
      <c r="F22" s="7" t="n">
        <v>0.8</v>
      </c>
      <c r="G22" s="7" t="inlineStr">
        <is>
          <t>임상</t>
        </is>
      </c>
      <c r="H22" s="7">
        <f>ROUND(E22*F22,3)</f>
        <v/>
      </c>
      <c r="I22" s="7" t="n">
        <v>1</v>
      </c>
      <c r="J22" s="7" t="n">
        <v>1</v>
      </c>
      <c r="K22" s="7">
        <f>ROUND(H22*I22*J22,3)</f>
        <v/>
      </c>
      <c r="L22" s="7" t="n">
        <v>1</v>
      </c>
      <c r="M22" s="7" t="n">
        <v>1</v>
      </c>
      <c r="N22" s="6">
        <f>ROUND(K22*L22*M22,3)</f>
        <v/>
      </c>
      <c r="O22" s="7" t="n">
        <v>1</v>
      </c>
      <c r="P22" s="8" t="inlineStr">
        <is>
          <t>수분 ↑·TEWL ↓(덱스판테놀)</t>
        </is>
      </c>
      <c r="Q22" s="7" t="inlineStr">
        <is>
          <t>수분/TEWL</t>
        </is>
      </c>
      <c r="R22" s="7" t="inlineStr">
        <is>
          <t>↑/↓</t>
        </is>
      </c>
      <c r="S22" s="7" t="inlineStr">
        <is>
          <t>단일</t>
        </is>
      </c>
      <c r="T22" s="7" t="inlineStr">
        <is>
          <t>human in vivo study</t>
        </is>
      </c>
      <c r="U22" s="7" t="inlineStr">
        <is>
          <t>10965426</t>
        </is>
      </c>
      <c r="V22" s="8" t="inlineStr">
        <is>
          <t>https://pubmed.ncbi.nlm.nih.gov/10965426/</t>
        </is>
      </c>
      <c r="W22" s="7" t="inlineStr">
        <is>
          <t>추출v2</t>
        </is>
      </c>
      <c r="X22" s="8" t="n"/>
    </row>
    <row r="23">
      <c r="A23" s="6" t="inlineStr">
        <is>
          <t>유레아</t>
        </is>
      </c>
      <c r="B23" s="7" t="inlineStr">
        <is>
          <t>보습·장벽</t>
        </is>
      </c>
      <c r="C23" s="8" t="inlineStr">
        <is>
          <t>보습 + 각질 완화</t>
        </is>
      </c>
      <c r="D23" s="7" t="inlineStr">
        <is>
          <t>주성분</t>
        </is>
      </c>
      <c r="E23" s="7" t="n">
        <v>0.6</v>
      </c>
      <c r="F23" s="7" t="n">
        <v>0.85</v>
      </c>
      <c r="G23" s="7" t="inlineStr">
        <is>
          <t>RCT</t>
        </is>
      </c>
      <c r="H23" s="7">
        <f>ROUND(E23*F23,3)</f>
        <v/>
      </c>
      <c r="I23" s="7" t="n">
        <v>1</v>
      </c>
      <c r="J23" s="7" t="n">
        <v>0.85</v>
      </c>
      <c r="K23" s="7">
        <f>ROUND(H23*I23*J23,3)</f>
        <v/>
      </c>
      <c r="L23" s="7" t="n">
        <v>1</v>
      </c>
      <c r="M23" s="7" t="n">
        <v>1</v>
      </c>
      <c r="N23" s="6">
        <f>ROUND(K23*L23*M23,3)</f>
        <v/>
      </c>
      <c r="O23" s="7" t="n">
        <v>1</v>
      </c>
      <c r="P23" s="8" t="inlineStr">
        <is>
          <t>TEWL ↓~31%, 수분 ↑(7.5~20%)</t>
        </is>
      </c>
      <c r="Q23" s="7" t="inlineStr">
        <is>
          <t>수분/TEWL</t>
        </is>
      </c>
      <c r="R23" s="7" t="inlineStr">
        <is>
          <t>↑/↓</t>
        </is>
      </c>
      <c r="S23" s="7" t="inlineStr">
        <is>
          <t>단일</t>
        </is>
      </c>
      <c r="T23" s="7" t="inlineStr">
        <is>
          <t>randomized controlled double-blind split-body study</t>
        </is>
      </c>
      <c r="U23" s="7" t="inlineStr">
        <is>
          <t>35663767</t>
        </is>
      </c>
      <c r="V23" s="8" t="inlineStr">
        <is>
          <t>https://pubmed.ncbi.nlm.nih.gov/35663767/</t>
        </is>
      </c>
      <c r="W23" s="7" t="inlineStr">
        <is>
          <t>추출v2(각질축 차용)</t>
        </is>
      </c>
      <c r="X23" s="8" t="inlineStr">
        <is>
          <t>추출v2 각질축 값 차용</t>
        </is>
      </c>
    </row>
    <row r="24">
      <c r="A24" s="6" t="inlineStr">
        <is>
          <t>스쿠알란</t>
        </is>
      </c>
      <c r="B24" s="7" t="inlineStr">
        <is>
          <t>보습·장벽</t>
        </is>
      </c>
      <c r="C24" s="8" t="inlineStr">
        <is>
          <t>에몰리언트 보습</t>
        </is>
      </c>
      <c r="D24" s="7" t="inlineStr">
        <is>
          <t>주성분</t>
        </is>
      </c>
      <c r="E24" s="7" t="n">
        <v>0.35</v>
      </c>
      <c r="F24" s="7" t="n">
        <v>0.75</v>
      </c>
      <c r="G24" s="7" t="inlineStr">
        <is>
          <t>리뷰</t>
        </is>
      </c>
      <c r="H24" s="7">
        <f>ROUND(E24*F24,3)</f>
        <v/>
      </c>
      <c r="I24" s="7" t="n">
        <v>1</v>
      </c>
      <c r="J24" s="7" t="n">
        <v>1</v>
      </c>
      <c r="K24" s="7">
        <f>ROUND(H24*I24*J24,3)</f>
        <v/>
      </c>
      <c r="L24" s="7" t="n">
        <v>1</v>
      </c>
      <c r="M24" s="7" t="n">
        <v>1</v>
      </c>
      <c r="N24" s="6">
        <f>ROUND(K24*L24*M24,3)</f>
        <v/>
      </c>
      <c r="O24" s="7" t="n">
        <v>1</v>
      </c>
      <c r="P24" s="8" t="inlineStr">
        <is>
          <t>에몰리언트·TEWL 방지(리뷰), 단독 임상 제한적</t>
        </is>
      </c>
      <c r="Q24" s="7" t="inlineStr">
        <is>
          <t>수분/TEWL</t>
        </is>
      </c>
      <c r="R24" s="7" t="inlineStr">
        <is>
          <t>↑/↓</t>
        </is>
      </c>
      <c r="S24" s="7" t="inlineStr">
        <is>
          <t>단일</t>
        </is>
      </c>
      <c r="T24" s="7" t="inlineStr">
        <is>
          <t>리뷰</t>
        </is>
      </c>
      <c r="U24" s="7" t="inlineStr">
        <is>
          <t>19169201</t>
        </is>
      </c>
      <c r="V24" s="8" t="inlineStr">
        <is>
          <t>https://pubmed.ncbi.nlm.nih.gov/19169201/</t>
        </is>
      </c>
      <c r="W24" s="7" t="inlineStr">
        <is>
          <t>추출v2</t>
        </is>
      </c>
      <c r="X24" s="8" t="n"/>
    </row>
    <row r="25">
      <c r="A25" s="6" t="inlineStr">
        <is>
          <t>페트롤라툼/미네랄오일</t>
        </is>
      </c>
      <c r="B25" s="7" t="inlineStr">
        <is>
          <t>보습·장벽</t>
        </is>
      </c>
      <c r="C25" s="8" t="inlineStr">
        <is>
          <t>폐색성 보습(강력)</t>
        </is>
      </c>
      <c r="D25" s="7" t="inlineStr">
        <is>
          <t>보조성분</t>
        </is>
      </c>
      <c r="E25" s="7" t="n">
        <v>0.65</v>
      </c>
      <c r="F25" s="7" t="n">
        <v>0.8</v>
      </c>
      <c r="G25" s="7" t="inlineStr">
        <is>
          <t>임상</t>
        </is>
      </c>
      <c r="H25" s="7">
        <f>ROUND(E25*F25,3)</f>
        <v/>
      </c>
      <c r="I25" s="7" t="n">
        <v>1</v>
      </c>
      <c r="J25" s="7" t="n">
        <v>0.85</v>
      </c>
      <c r="K25" s="7">
        <f>ROUND(H25*I25*J25,3)</f>
        <v/>
      </c>
      <c r="L25" s="7" t="n">
        <v>1</v>
      </c>
      <c r="M25" s="7" t="n">
        <v>1</v>
      </c>
      <c r="N25" s="6">
        <f>ROUND(K25*L25*M25,3)</f>
        <v/>
      </c>
      <c r="O25" s="7" t="n">
        <v>1</v>
      </c>
      <c r="P25" s="8" t="inlineStr">
        <is>
          <t>TEWL ↓ 강력(폐색)</t>
        </is>
      </c>
      <c r="Q25" s="7" t="inlineStr">
        <is>
          <t>TEWL</t>
        </is>
      </c>
      <c r="R25" s="7" t="inlineStr">
        <is>
          <t>↓</t>
        </is>
      </c>
      <c r="S25" s="7" t="inlineStr">
        <is>
          <t>단일</t>
        </is>
      </c>
      <c r="T25" s="7" t="inlineStr">
        <is>
          <t>clinical/mechanistic study</t>
        </is>
      </c>
      <c r="U25" s="7" t="inlineStr">
        <is>
          <t>26431582</t>
        </is>
      </c>
      <c r="V25" s="8" t="inlineStr">
        <is>
          <t>https://pubmed.ncbi.nlm.nih.gov/26431582/</t>
        </is>
      </c>
      <c r="W25" s="7" t="inlineStr">
        <is>
          <t>추출v2</t>
        </is>
      </c>
      <c r="X25" s="8" t="n"/>
    </row>
    <row r="26">
      <c r="A26" s="6" t="inlineStr">
        <is>
          <t>세라마이드</t>
        </is>
      </c>
      <c r="B26" s="7" t="inlineStr">
        <is>
          <t>보습·장벽</t>
        </is>
      </c>
      <c r="C26" s="8" t="inlineStr">
        <is>
          <t>장벽 강화·수분 유지</t>
        </is>
      </c>
      <c r="D26" s="7" t="inlineStr">
        <is>
          <t>주성분</t>
        </is>
      </c>
      <c r="E26" s="7" t="n">
        <v>0.72</v>
      </c>
      <c r="F26" s="7" t="n">
        <v>0.85</v>
      </c>
      <c r="G26" s="7" t="inlineStr">
        <is>
          <t>RCT</t>
        </is>
      </c>
      <c r="H26" s="7">
        <f>ROUND(E26*F26,3)</f>
        <v/>
      </c>
      <c r="I26" s="7" t="n">
        <v>0.8</v>
      </c>
      <c r="J26" s="7" t="n">
        <v>1</v>
      </c>
      <c r="K26" s="7">
        <f>ROUND(H26*I26*J26,3)</f>
        <v/>
      </c>
      <c r="L26" s="7" t="n">
        <v>1</v>
      </c>
      <c r="M26" s="7" t="n">
        <v>1</v>
      </c>
      <c r="N26" s="6">
        <f>ROUND(K26*L26*M26,3)</f>
        <v/>
      </c>
      <c r="O26" s="7" t="n">
        <v>1</v>
      </c>
      <c r="P26" s="8" t="inlineStr">
        <is>
          <t>TEWL ↓·수분 ↑(세라마이드 제제)</t>
        </is>
      </c>
      <c r="Q26" s="7" t="inlineStr">
        <is>
          <t>TEWL/수분</t>
        </is>
      </c>
      <c r="R26" s="7" t="inlineStr">
        <is>
          <t>↓/↑</t>
        </is>
      </c>
      <c r="S26" s="7" t="inlineStr">
        <is>
          <t>단일/혼합</t>
        </is>
      </c>
      <c r="T26" s="7" t="inlineStr">
        <is>
          <t>double-blind RCT</t>
        </is>
      </c>
      <c r="U26" s="7" t="inlineStr">
        <is>
          <t>37269189</t>
        </is>
      </c>
      <c r="V26" s="8" t="inlineStr">
        <is>
          <t>https://pubmed.ncbi.nlm.nih.gov/37269189/</t>
        </is>
      </c>
      <c r="W26" s="7" t="inlineStr">
        <is>
          <t>추출v2</t>
        </is>
      </c>
      <c r="X26" s="8" t="n"/>
    </row>
    <row r="27">
      <c r="A27" s="6" t="inlineStr">
        <is>
          <t>콜레스테롤/지방산</t>
        </is>
      </c>
      <c r="B27" s="7" t="inlineStr">
        <is>
          <t>보습·장벽</t>
        </is>
      </c>
      <c r="C27" s="8" t="inlineStr">
        <is>
          <t>생리적 지질 장벽 회복</t>
        </is>
      </c>
      <c r="D27" s="7" t="inlineStr">
        <is>
          <t>보조성분</t>
        </is>
      </c>
      <c r="E27" s="7" t="n">
        <v>0.55</v>
      </c>
      <c r="F27" s="7" t="n">
        <v>0.8</v>
      </c>
      <c r="G27" s="7" t="inlineStr">
        <is>
          <t>전임상·기전</t>
        </is>
      </c>
      <c r="H27" s="7">
        <f>ROUND(E27*F27,3)</f>
        <v/>
      </c>
      <c r="I27" s="7" t="n">
        <v>1</v>
      </c>
      <c r="J27" s="7" t="n">
        <v>1</v>
      </c>
      <c r="K27" s="7">
        <f>ROUND(H27*I27*J27,3)</f>
        <v/>
      </c>
      <c r="L27" s="7" t="n">
        <v>1</v>
      </c>
      <c r="M27" s="7" t="n">
        <v>1</v>
      </c>
      <c r="N27" s="6">
        <f>ROUND(K27*L27*M27,3)</f>
        <v/>
      </c>
      <c r="O27" s="7" t="n">
        <v>1</v>
      </c>
      <c r="P27" s="8" t="inlineStr">
        <is>
          <t>3:1:1 장벽회복; EpiCeram SCORAD↓47/57%</t>
        </is>
      </c>
      <c r="Q27" s="7" t="inlineStr">
        <is>
          <t>TEWL/SCORAD</t>
        </is>
      </c>
      <c r="R27" s="7" t="inlineStr">
        <is>
          <t>↓</t>
        </is>
      </c>
      <c r="S27" s="7" t="inlineStr">
        <is>
          <t>조합(3:1:1)</t>
        </is>
      </c>
      <c r="T27" s="7" t="inlineStr">
        <is>
          <t>임상/기전</t>
        </is>
      </c>
      <c r="U27" s="7" t="inlineStr">
        <is>
          <t>9308554</t>
        </is>
      </c>
      <c r="V27" s="8" t="inlineStr">
        <is>
          <t>https://pubmed.ncbi.nlm.nih.gov/9308554/</t>
        </is>
      </c>
      <c r="W27" s="7" t="inlineStr">
        <is>
          <t>추출v2</t>
        </is>
      </c>
      <c r="X27" s="8" t="n"/>
    </row>
    <row r="28">
      <c r="A28" s="6" t="inlineStr">
        <is>
          <t>디메치콘</t>
        </is>
      </c>
      <c r="B28" s="7" t="inlineStr">
        <is>
          <t>보습·장벽</t>
        </is>
      </c>
      <c r="C28" s="8" t="inlineStr">
        <is>
          <t>폐색성 장벽 보호</t>
        </is>
      </c>
      <c r="D28" s="7" t="inlineStr">
        <is>
          <t>보조성분</t>
        </is>
      </c>
      <c r="E28" s="7" t="n">
        <v>0.5</v>
      </c>
      <c r="F28" s="7" t="n">
        <v>0.75</v>
      </c>
      <c r="G28" s="7" t="inlineStr">
        <is>
          <t>임상</t>
        </is>
      </c>
      <c r="H28" s="7">
        <f>ROUND(E28*F28,3)</f>
        <v/>
      </c>
      <c r="I28" s="7" t="n">
        <v>0.8</v>
      </c>
      <c r="J28" s="7" t="n">
        <v>1</v>
      </c>
      <c r="K28" s="7">
        <f>ROUND(H28*I28*J28,3)</f>
        <v/>
      </c>
      <c r="L28" s="7" t="n">
        <v>1</v>
      </c>
      <c r="M28" s="7" t="n">
        <v>1</v>
      </c>
      <c r="N28" s="6">
        <f>ROUND(K28*L28*M28,3)</f>
        <v/>
      </c>
      <c r="O28" s="7" t="n">
        <v>1</v>
      </c>
      <c r="P28" s="8" t="inlineStr">
        <is>
          <t>TEWL ↓20~30%(폐색); 자극 예방</t>
        </is>
      </c>
      <c r="Q28" s="7" t="inlineStr">
        <is>
          <t>TEWL/자극</t>
        </is>
      </c>
      <c r="R28" s="7" t="inlineStr">
        <is>
          <t>↓</t>
        </is>
      </c>
      <c r="S28" s="7" t="inlineStr">
        <is>
          <t>혼합</t>
        </is>
      </c>
      <c r="T28" s="7" t="inlineStr">
        <is>
          <t>임상(대조)</t>
        </is>
      </c>
      <c r="U28" s="7" t="inlineStr">
        <is>
          <t>26990096</t>
        </is>
      </c>
      <c r="V28" s="8" t="inlineStr">
        <is>
          <t>https://pubmed.ncbi.nlm.nih.gov/26990096/</t>
        </is>
      </c>
      <c r="W28" s="7" t="inlineStr">
        <is>
          <t>추출v2</t>
        </is>
      </c>
      <c r="X28" s="8" t="n"/>
    </row>
    <row r="29">
      <c r="A29" s="9" t="inlineStr">
        <is>
          <t>센텔라아시아티카/병풀</t>
        </is>
      </c>
      <c r="B29" s="4" t="inlineStr">
        <is>
          <t>진정</t>
        </is>
      </c>
      <c r="C29" s="5" t="inlineStr">
        <is>
          <t>진정·홍반 감소</t>
        </is>
      </c>
      <c r="D29" s="4" t="inlineStr">
        <is>
          <t>주성분</t>
        </is>
      </c>
      <c r="E29" s="4" t="n">
        <v>0.55</v>
      </c>
      <c r="F29" s="4" t="n">
        <v>0.75</v>
      </c>
      <c r="G29" s="4" t="inlineStr">
        <is>
          <t>리뷰</t>
        </is>
      </c>
      <c r="H29" s="4">
        <f>ROUND(E29*F29,3)</f>
        <v/>
      </c>
      <c r="I29" s="4" t="n">
        <v>0.8</v>
      </c>
      <c r="J29" s="4" t="n">
        <v>1</v>
      </c>
      <c r="K29" s="4">
        <f>ROUND(H29*I29*J29,3)</f>
        <v/>
      </c>
      <c r="L29" s="4" t="n">
        <v>1</v>
      </c>
      <c r="M29" s="4" t="n">
        <v>1</v>
      </c>
      <c r="N29" s="9">
        <f>ROUND(K29*L29*M29,3)</f>
        <v/>
      </c>
      <c r="O29" s="4" t="n">
        <v>1</v>
      </c>
      <c r="P29" s="5" t="inlineStr">
        <is>
          <t>홍반/자극 ↓(레이저후 등)</t>
        </is>
      </c>
      <c r="Q29" s="4" t="inlineStr">
        <is>
          <t>홍반</t>
        </is>
      </c>
      <c r="R29" s="4" t="inlineStr">
        <is>
          <t>↓</t>
        </is>
      </c>
      <c r="S29" s="4" t="inlineStr">
        <is>
          <t>단일/혼합</t>
        </is>
      </c>
      <c r="T29" s="4" t="inlineStr">
        <is>
          <t>review</t>
        </is>
      </c>
      <c r="U29" s="4" t="inlineStr">
        <is>
          <t>39458583</t>
        </is>
      </c>
      <c r="V29" s="5" t="inlineStr">
        <is>
          <t>https://pubmed.ncbi.nlm.nih.gov/39458583/</t>
        </is>
      </c>
      <c r="W29" s="4" t="inlineStr">
        <is>
          <t>추출v2</t>
        </is>
      </c>
      <c r="X29" s="5" t="n"/>
    </row>
    <row r="30">
      <c r="A30" s="9" t="inlineStr">
        <is>
          <t>마데카소사이드</t>
        </is>
      </c>
      <c r="B30" s="4" t="inlineStr">
        <is>
          <t>진정</t>
        </is>
      </c>
      <c r="C30" s="5" t="inlineStr">
        <is>
          <t>진정·장벽 회복 보조</t>
        </is>
      </c>
      <c r="D30" s="4" t="inlineStr">
        <is>
          <t>주성분</t>
        </is>
      </c>
      <c r="E30" s="4" t="n">
        <v>0.5</v>
      </c>
      <c r="F30" s="4" t="n">
        <v>0.75</v>
      </c>
      <c r="G30" s="4" t="inlineStr">
        <is>
          <t>리뷰</t>
        </is>
      </c>
      <c r="H30" s="4">
        <f>ROUND(E30*F30,3)</f>
        <v/>
      </c>
      <c r="I30" s="4" t="n">
        <v>1</v>
      </c>
      <c r="J30" s="4" t="n">
        <v>1</v>
      </c>
      <c r="K30" s="4">
        <f>ROUND(H30*I30*J30,3)</f>
        <v/>
      </c>
      <c r="L30" s="4" t="n">
        <v>1</v>
      </c>
      <c r="M30" s="4" t="n">
        <v>1</v>
      </c>
      <c r="N30" s="9">
        <f>ROUND(K30*L30*M30,3)</f>
        <v/>
      </c>
      <c r="O30" s="4" t="n">
        <v>1</v>
      </c>
      <c r="P30" s="5" t="inlineStr">
        <is>
          <t>홍반 ↓·장벽 회복 보조(기전/리뷰)</t>
        </is>
      </c>
      <c r="Q30" s="4" t="inlineStr">
        <is>
          <t>홍반/장벽회복</t>
        </is>
      </c>
      <c r="R30" s="4" t="inlineStr">
        <is>
          <t>↓</t>
        </is>
      </c>
      <c r="S30" s="4" t="inlineStr">
        <is>
          <t>단일</t>
        </is>
      </c>
      <c r="T30" s="4" t="inlineStr">
        <is>
          <t>review</t>
        </is>
      </c>
      <c r="U30" s="4" t="inlineStr">
        <is>
          <t>36756687</t>
        </is>
      </c>
      <c r="V30" s="5" t="inlineStr">
        <is>
          <t>https://pubmed.ncbi.nlm.nih.gov/36756687/</t>
        </is>
      </c>
      <c r="W30" s="4" t="inlineStr">
        <is>
          <t>추출v2</t>
        </is>
      </c>
      <c r="X30" s="5" t="n"/>
    </row>
    <row r="31">
      <c r="A31" s="9" t="inlineStr">
        <is>
          <t>알란토인</t>
        </is>
      </c>
      <c r="B31" s="4" t="inlineStr">
        <is>
          <t>진정</t>
        </is>
      </c>
      <c r="C31" s="5" t="inlineStr">
        <is>
          <t>진정·상처치유</t>
        </is>
      </c>
      <c r="D31" s="4" t="inlineStr">
        <is>
          <t>참고(제외)</t>
        </is>
      </c>
      <c r="E31" s="4" t="n">
        <v>0.3</v>
      </c>
      <c r="F31" s="4" t="n">
        <v>0.6</v>
      </c>
      <c r="G31" s="4" t="inlineStr">
        <is>
          <t>RCT</t>
        </is>
      </c>
      <c r="H31" s="4">
        <f>ROUND(E31*F31,3)</f>
        <v/>
      </c>
      <c r="I31" s="4" t="n">
        <v>1</v>
      </c>
      <c r="J31" s="4" t="n">
        <v>1</v>
      </c>
      <c r="K31" s="4">
        <f>ROUND(H31*I31*J31,3)</f>
        <v/>
      </c>
      <c r="L31" s="4" t="n">
        <v>1</v>
      </c>
      <c r="M31" s="4" t="n">
        <v>1</v>
      </c>
      <c r="N31" s="9">
        <f>ROUND(K31*L31*M31,3)</f>
        <v/>
      </c>
      <c r="O31" s="4" t="n">
        <v>1</v>
      </c>
      <c r="P31" s="5" t="inlineStr">
        <is>
          <t>상처치유/증상 개선(6% 단일제)</t>
        </is>
      </c>
      <c r="Q31" s="4" t="inlineStr">
        <is>
          <t>상처/증상</t>
        </is>
      </c>
      <c r="R31" s="4" t="inlineStr">
        <is>
          <t>↓</t>
        </is>
      </c>
      <c r="S31" s="4" t="inlineStr">
        <is>
          <t>단일 6%</t>
        </is>
      </c>
      <c r="T31" s="4" t="inlineStr">
        <is>
          <t>Phase3 RCT</t>
        </is>
      </c>
      <c r="U31" s="4" t="n"/>
      <c r="V31" s="5" t="inlineStr">
        <is>
          <t>https://pmc.ncbi.nlm.nih.gov/articles/PMC7310548/</t>
        </is>
      </c>
      <c r="W31" s="4" t="inlineStr">
        <is>
          <t>추출v2</t>
        </is>
      </c>
      <c r="X31" s="5" t="inlineStr">
        <is>
          <t>PMID없음→URL·공식출처로 추적</t>
        </is>
      </c>
    </row>
    <row r="32">
      <c r="A32" s="9" t="inlineStr">
        <is>
          <t>콜로이달오트밀</t>
        </is>
      </c>
      <c r="B32" s="4" t="inlineStr">
        <is>
          <t>진정</t>
        </is>
      </c>
      <c r="C32" s="5" t="inlineStr">
        <is>
          <t>가려움·자극 진정</t>
        </is>
      </c>
      <c r="D32" s="4" t="inlineStr">
        <is>
          <t>주성분</t>
        </is>
      </c>
      <c r="E32" s="4" t="n">
        <v>0.62</v>
      </c>
      <c r="F32" s="4" t="n">
        <v>0.85</v>
      </c>
      <c r="G32" s="4" t="inlineStr">
        <is>
          <t>RCT</t>
        </is>
      </c>
      <c r="H32" s="4">
        <f>ROUND(E32*F32,3)</f>
        <v/>
      </c>
      <c r="I32" s="4" t="n">
        <v>1</v>
      </c>
      <c r="J32" s="4" t="n">
        <v>1</v>
      </c>
      <c r="K32" s="4">
        <f>ROUND(H32*I32*J32,3)</f>
        <v/>
      </c>
      <c r="L32" s="4" t="n">
        <v>1</v>
      </c>
      <c r="M32" s="4" t="n">
        <v>1</v>
      </c>
      <c r="N32" s="9">
        <f>ROUND(K32*L32*M32,3)</f>
        <v/>
      </c>
      <c r="O32" s="4" t="n">
        <v>1</v>
      </c>
      <c r="P32" s="5" t="inlineStr">
        <is>
          <t>가려움/증상 유의 감소</t>
        </is>
      </c>
      <c r="Q32" s="4" t="inlineStr">
        <is>
          <t>가려움/증상</t>
        </is>
      </c>
      <c r="R32" s="4" t="inlineStr">
        <is>
          <t>↓</t>
        </is>
      </c>
      <c r="S32" s="4" t="inlineStr">
        <is>
          <t>단일</t>
        </is>
      </c>
      <c r="T32" s="4" t="inlineStr">
        <is>
          <t>double-blind randomized active-controlled study</t>
        </is>
      </c>
      <c r="U32" s="4" t="inlineStr">
        <is>
          <t>28366039</t>
        </is>
      </c>
      <c r="V32" s="5" t="inlineStr">
        <is>
          <t>https://pubmed.ncbi.nlm.nih.gov/28366039/</t>
        </is>
      </c>
      <c r="W32" s="4" t="inlineStr">
        <is>
          <t>추출v2</t>
        </is>
      </c>
      <c r="X32" s="5" t="n"/>
    </row>
    <row r="33">
      <c r="A33" s="9" t="inlineStr">
        <is>
          <t>비사보롤</t>
        </is>
      </c>
      <c r="B33" s="4" t="inlineStr">
        <is>
          <t>진정</t>
        </is>
      </c>
      <c r="C33" s="5" t="inlineStr">
        <is>
          <t>항염·진정</t>
        </is>
      </c>
      <c r="D33" s="4" t="inlineStr">
        <is>
          <t>참고(제외)</t>
        </is>
      </c>
      <c r="E33" s="4" t="n">
        <v>0.52</v>
      </c>
      <c r="F33" s="4" t="n">
        <v>0.45</v>
      </c>
      <c r="G33" s="4" t="inlineStr">
        <is>
          <t>전임상·기전</t>
        </is>
      </c>
      <c r="H33" s="4">
        <f>ROUND(E33*F33,3)</f>
        <v/>
      </c>
      <c r="I33" s="4" t="n">
        <v>1</v>
      </c>
      <c r="J33" s="4" t="n">
        <v>0.85</v>
      </c>
      <c r="K33" s="4">
        <f>ROUND(H33*I33*J33,3)</f>
        <v/>
      </c>
      <c r="L33" s="4" t="n">
        <v>1</v>
      </c>
      <c r="M33" s="4" t="n">
        <v>1</v>
      </c>
      <c r="N33" s="9">
        <f>ROUND(K33*L33*M33,3)</f>
        <v/>
      </c>
      <c r="O33" s="4" t="n">
        <v>1</v>
      </c>
      <c r="P33" s="5" t="inlineStr">
        <is>
          <t>전염증 사이토카인 ↓(기전)</t>
        </is>
      </c>
      <c r="Q33" s="4" t="inlineStr">
        <is>
          <t>염증 마커</t>
        </is>
      </c>
      <c r="R33" s="4" t="inlineStr">
        <is>
          <t>↓</t>
        </is>
      </c>
      <c r="S33" s="4" t="inlineStr">
        <is>
          <t>단일</t>
        </is>
      </c>
      <c r="T33" s="4" t="inlineStr">
        <is>
          <t>기전(in vitro)</t>
        </is>
      </c>
      <c r="U33" s="4" t="inlineStr">
        <is>
          <t>24894548</t>
        </is>
      </c>
      <c r="V33" s="5" t="inlineStr">
        <is>
          <t>https://pubmed.ncbi.nlm.nih.gov/24894548/</t>
        </is>
      </c>
      <c r="W33" s="4" t="inlineStr">
        <is>
          <t>추출v2</t>
        </is>
      </c>
      <c r="X33" s="5" t="inlineStr">
        <is>
          <t>in vitro 기전 연구만 존재 → 임상 효과크기 불명확. evidence_trust 0.45(전임상·기전)로 하향, 보조 처리. (미백 비사보롤은 고시형으로 별도 산정)</t>
        </is>
      </c>
    </row>
    <row r="34">
      <c r="A34" s="10" t="inlineStr">
        <is>
          <t>AHA</t>
        </is>
      </c>
      <c r="B34" s="11" t="inlineStr">
        <is>
          <t>각질</t>
        </is>
      </c>
      <c r="C34" s="12" t="inlineStr">
        <is>
          <t>각질·광노화 개선</t>
        </is>
      </c>
      <c r="D34" s="11" t="inlineStr">
        <is>
          <t>주성분</t>
        </is>
      </c>
      <c r="E34" s="11" t="n">
        <v>0.65</v>
      </c>
      <c r="F34" s="11" t="n">
        <v>0.85</v>
      </c>
      <c r="G34" s="11" t="inlineStr">
        <is>
          <t>임상</t>
        </is>
      </c>
      <c r="H34" s="11">
        <f>ROUND(E34*F34,3)</f>
        <v/>
      </c>
      <c r="I34" s="11" t="n">
        <v>1</v>
      </c>
      <c r="J34" s="11" t="n">
        <v>0.85</v>
      </c>
      <c r="K34" s="11">
        <f>ROUND(H34*I34*J34,3)</f>
        <v/>
      </c>
      <c r="L34" s="11" t="n">
        <v>1</v>
      </c>
      <c r="M34" s="11" t="n">
        <v>1</v>
      </c>
      <c r="N34" s="10">
        <f>ROUND(K34*L34*M34,3)</f>
        <v/>
      </c>
      <c r="O34" s="11" t="n">
        <v>1</v>
      </c>
      <c r="P34" s="12" t="inlineStr">
        <is>
          <t>광노화 조직학 개선(8% 글라이콜릭)</t>
        </is>
      </c>
      <c r="Q34" s="11" t="inlineStr">
        <is>
          <t>각질/조직학</t>
        </is>
      </c>
      <c r="R34" s="11" t="inlineStr">
        <is>
          <t>↓</t>
        </is>
      </c>
      <c r="S34" s="11" t="inlineStr">
        <is>
          <t>단일</t>
        </is>
      </c>
      <c r="T34" s="11" t="inlineStr">
        <is>
          <t>double-blind controlled clinical</t>
        </is>
      </c>
      <c r="U34" s="11" t="inlineStr">
        <is>
          <t>8651713</t>
        </is>
      </c>
      <c r="V34" s="12" t="inlineStr">
        <is>
          <t>https://pubmed.ncbi.nlm.nih.gov/8651713/</t>
        </is>
      </c>
      <c r="W34" s="11" t="inlineStr">
        <is>
          <t>추출v2</t>
        </is>
      </c>
      <c r="X34" s="12" t="n"/>
    </row>
    <row r="35">
      <c r="A35" s="10" t="inlineStr">
        <is>
          <t>PHA</t>
        </is>
      </c>
      <c r="B35" s="11" t="inlineStr">
        <is>
          <t>각질</t>
        </is>
      </c>
      <c r="C35" s="12" t="inlineStr">
        <is>
          <t>각질 개선(저자극)</t>
        </is>
      </c>
      <c r="D35" s="11" t="inlineStr">
        <is>
          <t>주성분</t>
        </is>
      </c>
      <c r="E35" s="11" t="n">
        <v>0.55</v>
      </c>
      <c r="F35" s="11" t="n">
        <v>0.85</v>
      </c>
      <c r="G35" s="11" t="inlineStr">
        <is>
          <t>임상</t>
        </is>
      </c>
      <c r="H35" s="11">
        <f>ROUND(E35*F35,3)</f>
        <v/>
      </c>
      <c r="I35" s="11" t="n">
        <v>1</v>
      </c>
      <c r="J35" s="11" t="n">
        <v>1</v>
      </c>
      <c r="K35" s="11">
        <f>ROUND(H35*I35*J35,3)</f>
        <v/>
      </c>
      <c r="L35" s="11" t="n">
        <v>1</v>
      </c>
      <c r="M35" s="11" t="n">
        <v>1</v>
      </c>
      <c r="N35" s="10">
        <f>ROUND(K35*L35*M35,3)</f>
        <v/>
      </c>
      <c r="O35" s="11" t="n">
        <v>1</v>
      </c>
      <c r="P35" s="12" t="inlineStr">
        <is>
          <t>각질·결 개선, 자극 적음</t>
        </is>
      </c>
      <c r="Q35" s="11" t="inlineStr">
        <is>
          <t>각질/결</t>
        </is>
      </c>
      <c r="R35" s="11" t="inlineStr">
        <is>
          <t>↓</t>
        </is>
      </c>
      <c r="S35" s="11" t="inlineStr">
        <is>
          <t>단일</t>
        </is>
      </c>
      <c r="T35" s="11" t="inlineStr">
        <is>
          <t>비교임상</t>
        </is>
      </c>
      <c r="U35" s="11" t="inlineStr">
        <is>
          <t>15002657</t>
        </is>
      </c>
      <c r="V35" s="12" t="inlineStr">
        <is>
          <t>https://pubmed.ncbi.nlm.nih.gov/15002657/</t>
        </is>
      </c>
      <c r="W35" s="11" t="inlineStr">
        <is>
          <t>추출v2</t>
        </is>
      </c>
      <c r="X35" s="12" t="n"/>
    </row>
  </sheetData>
  <mergeCells count="2">
    <mergeCell ref="A2:X2"/>
    <mergeCell ref="A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40" customWidth="1" min="3" max="3"/>
    <col width="30" customWidth="1" min="4" max="4"/>
  </cols>
  <sheetData>
    <row r="1" ht="30" customHeight="1">
      <c r="A1" s="1" t="inlineStr">
        <is>
          <t>점수 공식 정의</t>
        </is>
      </c>
    </row>
    <row r="2">
      <c r="A2" s="2" t="inlineStr">
        <is>
          <t>곱셈 4단계. 각 단계가 무엇을 깎는지.</t>
        </is>
      </c>
    </row>
    <row r="4" ht="26" customHeight="1">
      <c r="A4" s="3" t="inlineStr">
        <is>
          <t>단계</t>
        </is>
      </c>
      <c r="B4" s="3" t="inlineStr">
        <is>
          <t>공식</t>
        </is>
      </c>
      <c r="C4" s="3" t="inlineStr">
        <is>
          <t>의미</t>
        </is>
      </c>
      <c r="D4" s="3" t="inlineStr">
        <is>
          <t>출처/규칙</t>
        </is>
      </c>
    </row>
    <row r="5">
      <c r="A5" s="4" t="inlineStr">
        <is>
          <t>1. rule_weight</t>
        </is>
      </c>
      <c r="B5" s="5" t="inlineStr">
        <is>
          <t>effect_strength × evidence_trust</t>
        </is>
      </c>
      <c r="C5" s="5" t="inlineStr">
        <is>
          <t>효과 크기 × 근거 신뢰도</t>
        </is>
      </c>
      <c r="D5" s="5" t="inlineStr">
        <is>
          <t>추출v2</t>
        </is>
      </c>
    </row>
    <row r="6">
      <c r="A6" s="4" t="inlineStr">
        <is>
          <t>2. 조정rule_weight</t>
        </is>
      </c>
      <c r="B6" s="5" t="inlineStr">
        <is>
          <t>rule_weight × applicability × regulatory</t>
        </is>
      </c>
      <c r="C6" s="5" t="inlineStr">
        <is>
          <t>적용가능성·규제까지 반영</t>
        </is>
      </c>
      <c r="D6" s="5" t="inlineStr">
        <is>
          <t>적용성/규제 스크린</t>
        </is>
      </c>
    </row>
    <row r="7">
      <c r="A7" s="4" t="inlineStr">
        <is>
          <t>3. 성분기여점수</t>
        </is>
      </c>
      <c r="B7" s="5" t="inlineStr">
        <is>
          <t>조정rule_weight × 함량점수 × 함량신뢰도</t>
        </is>
      </c>
      <c r="C7" s="5" t="inlineStr">
        <is>
          <t>제품 함량까지 반영(성분 단위)</t>
        </is>
      </c>
      <c r="D7" s="5" t="inlineStr">
        <is>
          <t>concentration_to_score</t>
        </is>
      </c>
    </row>
    <row r="8">
      <c r="A8" s="4" t="inlineStr">
        <is>
          <t>4. 개인민감보정</t>
        </is>
      </c>
      <c r="B8" s="5" t="inlineStr">
        <is>
          <t>(제품점수) × 개인민감보정</t>
        </is>
      </c>
      <c r="C8" s="5" t="inlineStr">
        <is>
          <t>민감/안전 별도 곱(효능과 분리)</t>
        </is>
      </c>
      <c r="D8" s="5" t="inlineStr">
        <is>
          <t>product_clean_score_formula</t>
        </is>
      </c>
    </row>
    <row r="9">
      <c r="A9" s="4" t="inlineStr">
        <is>
          <t>5. 제품 클린점수</t>
        </is>
      </c>
      <c r="B9" s="5" t="inlineStr">
        <is>
          <t>주70/보조30 그룹 noisy-OR, cap100</t>
        </is>
      </c>
      <c r="C9" s="5" t="inlineStr">
        <is>
          <t>제품 단위 축별 점수</t>
        </is>
      </c>
      <c r="D9" s="5" t="inlineStr">
        <is>
          <t>product_clean_score_formula</t>
        </is>
      </c>
    </row>
    <row r="10">
      <c r="A10" s="4" t="inlineStr">
        <is>
          <t>신뢰도 산정원칙</t>
        </is>
      </c>
      <c r="B10" s="5" t="inlineStr">
        <is>
          <t>et_산정근거유형으로 분리</t>
        </is>
      </c>
      <c r="C10" s="5" t="inlineStr">
        <is>
          <t>연구유형≠신뢰도근거(고시는 고시로)</t>
        </is>
      </c>
      <c r="D10" s="5" t="inlineStr">
        <is>
          <t>감초·비사보롤=고시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44" customWidth="1" min="4" max="4"/>
    <col width="16" customWidth="1" min="5" max="5"/>
  </cols>
  <sheetData>
    <row r="1" ht="30" customHeight="1">
      <c r="A1" s="1" t="inlineStr">
        <is>
          <t>추적성 점검</t>
        </is>
      </c>
    </row>
    <row r="2">
      <c r="A2" s="2" t="inlineStr">
        <is>
          <t>PMID + PMID 없는 행의 공식 URL/PMC/고시 추적.</t>
        </is>
      </c>
    </row>
    <row r="4" ht="26" customHeight="1">
      <c r="A4" s="3" t="inlineStr">
        <is>
          <t>성분군</t>
        </is>
      </c>
      <c r="B4" s="3" t="inlineStr">
        <is>
          <t>피부고민</t>
        </is>
      </c>
      <c r="C4" s="3" t="inlineStr">
        <is>
          <t>PMID</t>
        </is>
      </c>
      <c r="D4" s="3" t="inlineStr">
        <is>
          <t>추적 근거</t>
        </is>
      </c>
      <c r="E4" s="3" t="inlineStr">
        <is>
          <t>출처유형</t>
        </is>
      </c>
    </row>
    <row r="5">
      <c r="A5" s="4" t="inlineStr">
        <is>
          <t>나이아신아마이드</t>
        </is>
      </c>
      <c r="B5" s="4" t="inlineStr">
        <is>
          <t>미백·톤</t>
        </is>
      </c>
      <c r="C5" s="4" t="inlineStr">
        <is>
          <t>12100180</t>
        </is>
      </c>
      <c r="D5" s="5" t="inlineStr">
        <is>
          <t>PMID 12100180</t>
        </is>
      </c>
      <c r="E5" s="4" t="inlineStr">
        <is>
          <t>PMID</t>
        </is>
      </c>
    </row>
    <row r="6">
      <c r="A6" s="4" t="inlineStr">
        <is>
          <t>비타민C</t>
        </is>
      </c>
      <c r="B6" s="4" t="inlineStr">
        <is>
          <t>미백·톤</t>
        </is>
      </c>
      <c r="C6" s="4" t="inlineStr">
        <is>
          <t>37128827</t>
        </is>
      </c>
      <c r="D6" s="5" t="inlineStr">
        <is>
          <t>PMID 37128827</t>
        </is>
      </c>
      <c r="E6" s="4" t="inlineStr">
        <is>
          <t>PMID</t>
        </is>
      </c>
    </row>
    <row r="7">
      <c r="A7" s="4" t="inlineStr">
        <is>
          <t>알부틴</t>
        </is>
      </c>
      <c r="B7" s="4" t="inlineStr">
        <is>
          <t>미백·톤</t>
        </is>
      </c>
      <c r="C7" s="4" t="inlineStr">
        <is>
          <t>34356362</t>
        </is>
      </c>
      <c r="D7" s="5" t="inlineStr">
        <is>
          <t>PMID 34356362</t>
        </is>
      </c>
      <c r="E7" s="4" t="inlineStr">
        <is>
          <t>PMID</t>
        </is>
      </c>
    </row>
    <row r="8">
      <c r="A8" s="4" t="inlineStr">
        <is>
          <t>트라넥사믹애씨드</t>
        </is>
      </c>
      <c r="B8" s="4" t="inlineStr">
        <is>
          <t>미백·톤</t>
        </is>
      </c>
      <c r="C8" s="4" t="inlineStr">
        <is>
          <t>38843906</t>
        </is>
      </c>
      <c r="D8" s="5" t="inlineStr">
        <is>
          <t>PMID 38843906</t>
        </is>
      </c>
      <c r="E8" s="4" t="inlineStr">
        <is>
          <t>PMID</t>
        </is>
      </c>
    </row>
    <row r="9">
      <c r="A9" s="11" t="inlineStr">
        <is>
          <t>코직애씨드</t>
        </is>
      </c>
      <c r="B9" s="11" t="inlineStr">
        <is>
          <t>미백·톤</t>
        </is>
      </c>
      <c r="C9" s="11" t="inlineStr">
        <is>
          <t>(없음)</t>
        </is>
      </c>
      <c r="D9" s="12" t="inlineStr">
        <is>
          <t>https://www.sciencedirect.com/science/article/abs/pii/</t>
        </is>
      </c>
      <c r="E9" s="11" t="inlineStr">
        <is>
          <t>공식 URL</t>
        </is>
      </c>
    </row>
    <row r="10">
      <c r="A10" s="4" t="inlineStr">
        <is>
          <t>감초추출물/리코리스</t>
        </is>
      </c>
      <c r="B10" s="4" t="inlineStr">
        <is>
          <t>미백·톤</t>
        </is>
      </c>
      <c r="C10" s="4" t="inlineStr">
        <is>
          <t>9870547</t>
        </is>
      </c>
      <c r="D10" s="5" t="inlineStr">
        <is>
          <t>PMID 9870547</t>
        </is>
      </c>
      <c r="E10" s="4" t="inlineStr">
        <is>
          <t>PMID</t>
        </is>
      </c>
    </row>
    <row r="11">
      <c r="A11" s="11" t="inlineStr">
        <is>
          <t>비사보롤</t>
        </is>
      </c>
      <c r="B11" s="11" t="inlineStr">
        <is>
          <t>미백·톤</t>
        </is>
      </c>
      <c r="C11" s="11" t="inlineStr">
        <is>
          <t>(없음)</t>
        </is>
      </c>
      <c r="D11" s="12" t="inlineStr">
        <is>
          <t>https://www.law.go.kr/LSW//admRulInfoP.do?admRulSeq=21</t>
        </is>
      </c>
      <c r="E11" s="11" t="inlineStr">
        <is>
          <t>고시(법제처/식약처)</t>
        </is>
      </c>
    </row>
    <row r="12">
      <c r="A12" s="4" t="inlineStr">
        <is>
          <t>레티놀</t>
        </is>
      </c>
      <c r="B12" s="4" t="inlineStr">
        <is>
          <t>주름·탄력</t>
        </is>
      </c>
      <c r="C12" s="4" t="inlineStr">
        <is>
          <t>29947134</t>
        </is>
      </c>
      <c r="D12" s="5" t="inlineStr">
        <is>
          <t>PMID 29947134</t>
        </is>
      </c>
      <c r="E12" s="4" t="inlineStr">
        <is>
          <t>PMID</t>
        </is>
      </c>
    </row>
    <row r="13">
      <c r="A13" s="4" t="inlineStr">
        <is>
          <t>레티날</t>
        </is>
      </c>
      <c r="B13" s="4" t="inlineStr">
        <is>
          <t>주름·탄력</t>
        </is>
      </c>
      <c r="C13" s="4" t="inlineStr">
        <is>
          <t>29663701</t>
        </is>
      </c>
      <c r="D13" s="5" t="inlineStr">
        <is>
          <t>PMID 29663701</t>
        </is>
      </c>
      <c r="E13" s="4" t="inlineStr">
        <is>
          <t>PMID</t>
        </is>
      </c>
    </row>
    <row r="14">
      <c r="A14" s="11" t="inlineStr">
        <is>
          <t>아데노신</t>
        </is>
      </c>
      <c r="B14" s="11" t="inlineStr">
        <is>
          <t>주름·탄력</t>
        </is>
      </c>
      <c r="C14" s="11" t="inlineStr">
        <is>
          <t>(없음)</t>
        </is>
      </c>
      <c r="D14" s="12" t="inlineStr">
        <is>
          <t>https://mfds.go.kr/brd/m_207/view.do?seq=2709</t>
        </is>
      </c>
      <c r="E14" s="11" t="inlineStr">
        <is>
          <t>고시(법제처/식약처)</t>
        </is>
      </c>
    </row>
    <row r="15">
      <c r="A15" s="4" t="inlineStr">
        <is>
          <t>펩타이드</t>
        </is>
      </c>
      <c r="B15" s="4" t="inlineStr">
        <is>
          <t>주름·탄력</t>
        </is>
      </c>
      <c r="C15" s="4" t="inlineStr">
        <is>
          <t>18492182</t>
        </is>
      </c>
      <c r="D15" s="5" t="inlineStr">
        <is>
          <t>PMID 18492182</t>
        </is>
      </c>
      <c r="E15" s="4" t="inlineStr">
        <is>
          <t>PMID</t>
        </is>
      </c>
    </row>
    <row r="16">
      <c r="A16" s="4" t="inlineStr">
        <is>
          <t>살리실산/BHA</t>
        </is>
      </c>
      <c r="B16" s="4" t="inlineStr">
        <is>
          <t>여드름·피지</t>
        </is>
      </c>
      <c r="C16" s="4" t="inlineStr">
        <is>
          <t>38300170</t>
        </is>
      </c>
      <c r="D16" s="5" t="inlineStr">
        <is>
          <t>PMID 38300170</t>
        </is>
      </c>
      <c r="E16" s="4" t="inlineStr">
        <is>
          <t>PMID</t>
        </is>
      </c>
    </row>
    <row r="17">
      <c r="A17" s="11" t="inlineStr">
        <is>
          <t>징크 PCA</t>
        </is>
      </c>
      <c r="B17" s="11" t="inlineStr">
        <is>
          <t>여드름·피지</t>
        </is>
      </c>
      <c r="C17" s="11" t="inlineStr">
        <is>
          <t>(없음)</t>
        </is>
      </c>
      <c r="D17" s="12" t="inlineStr">
        <is>
          <t>https://incidecoder.com/products/for-skins-sake-liquid</t>
        </is>
      </c>
      <c r="E17" s="11" t="inlineStr">
        <is>
          <t>제조사/제품</t>
        </is>
      </c>
    </row>
    <row r="18">
      <c r="A18" s="4" t="inlineStr">
        <is>
          <t>녹차/그린티</t>
        </is>
      </c>
      <c r="B18" s="4" t="inlineStr">
        <is>
          <t>여드름·피지</t>
        </is>
      </c>
      <c r="C18" s="4" t="inlineStr">
        <is>
          <t>19363854</t>
        </is>
      </c>
      <c r="D18" s="5" t="inlineStr">
        <is>
          <t>PMID 19363854</t>
        </is>
      </c>
      <c r="E18" s="4" t="inlineStr">
        <is>
          <t>PMID</t>
        </is>
      </c>
    </row>
    <row r="19">
      <c r="A19" s="4" t="inlineStr">
        <is>
          <t>티트리/멜라루카</t>
        </is>
      </c>
      <c r="B19" s="4" t="inlineStr">
        <is>
          <t>여드름·피지</t>
        </is>
      </c>
      <c r="C19" s="4" t="inlineStr">
        <is>
          <t>37033604</t>
        </is>
      </c>
      <c r="D19" s="5" t="inlineStr">
        <is>
          <t>PMID 37033604</t>
        </is>
      </c>
      <c r="E19" s="4" t="inlineStr">
        <is>
          <t>PMID</t>
        </is>
      </c>
    </row>
    <row r="20">
      <c r="A20" s="4" t="inlineStr">
        <is>
          <t>히알루론산</t>
        </is>
      </c>
      <c r="B20" s="4" t="inlineStr">
        <is>
          <t>보습·장벽</t>
        </is>
      </c>
      <c r="C20" s="4" t="inlineStr">
        <is>
          <t>38829483</t>
        </is>
      </c>
      <c r="D20" s="5" t="inlineStr">
        <is>
          <t>PMID 38829483</t>
        </is>
      </c>
      <c r="E20" s="4" t="inlineStr">
        <is>
          <t>PMID</t>
        </is>
      </c>
    </row>
    <row r="21">
      <c r="A21" s="11" t="inlineStr">
        <is>
          <t>글리세린</t>
        </is>
      </c>
      <c r="B21" s="11" t="inlineStr">
        <is>
          <t>보습·장벽</t>
        </is>
      </c>
      <c r="C21" s="11" t="inlineStr">
        <is>
          <t>(없음)</t>
        </is>
      </c>
      <c r="D21" s="12" t="inlineStr">
        <is>
          <t>https://www.cochrane.org/evidence/CD012119_emollients-</t>
        </is>
      </c>
      <c r="E21" s="11" t="inlineStr">
        <is>
          <t>Cochrane</t>
        </is>
      </c>
    </row>
    <row r="22">
      <c r="A22" s="4" t="inlineStr">
        <is>
          <t>판테놀</t>
        </is>
      </c>
      <c r="B22" s="4" t="inlineStr">
        <is>
          <t>보습·장벽</t>
        </is>
      </c>
      <c r="C22" s="4" t="inlineStr">
        <is>
          <t>10965426</t>
        </is>
      </c>
      <c r="D22" s="5" t="inlineStr">
        <is>
          <t>PMID 10965426</t>
        </is>
      </c>
      <c r="E22" s="4" t="inlineStr">
        <is>
          <t>PMID</t>
        </is>
      </c>
    </row>
    <row r="23">
      <c r="A23" s="4" t="inlineStr">
        <is>
          <t>유레아</t>
        </is>
      </c>
      <c r="B23" s="4" t="inlineStr">
        <is>
          <t>보습·장벽</t>
        </is>
      </c>
      <c r="C23" s="4" t="inlineStr">
        <is>
          <t>35663767</t>
        </is>
      </c>
      <c r="D23" s="5" t="inlineStr">
        <is>
          <t>PMID 35663767</t>
        </is>
      </c>
      <c r="E23" s="4" t="inlineStr">
        <is>
          <t>PMID</t>
        </is>
      </c>
    </row>
    <row r="24">
      <c r="A24" s="4" t="inlineStr">
        <is>
          <t>스쿠알란</t>
        </is>
      </c>
      <c r="B24" s="4" t="inlineStr">
        <is>
          <t>보습·장벽</t>
        </is>
      </c>
      <c r="C24" s="4" t="inlineStr">
        <is>
          <t>19169201</t>
        </is>
      </c>
      <c r="D24" s="5" t="inlineStr">
        <is>
          <t>PMID 19169201</t>
        </is>
      </c>
      <c r="E24" s="4" t="inlineStr">
        <is>
          <t>PMID</t>
        </is>
      </c>
    </row>
    <row r="25">
      <c r="A25" s="4" t="inlineStr">
        <is>
          <t>페트롤라툼/미네랄오일</t>
        </is>
      </c>
      <c r="B25" s="4" t="inlineStr">
        <is>
          <t>보습·장벽</t>
        </is>
      </c>
      <c r="C25" s="4" t="inlineStr">
        <is>
          <t>26431582</t>
        </is>
      </c>
      <c r="D25" s="5" t="inlineStr">
        <is>
          <t>PMID 26431582</t>
        </is>
      </c>
      <c r="E25" s="4" t="inlineStr">
        <is>
          <t>PMID</t>
        </is>
      </c>
    </row>
    <row r="26">
      <c r="A26" s="4" t="inlineStr">
        <is>
          <t>세라마이드</t>
        </is>
      </c>
      <c r="B26" s="4" t="inlineStr">
        <is>
          <t>보습·장벽</t>
        </is>
      </c>
      <c r="C26" s="4" t="inlineStr">
        <is>
          <t>37269189</t>
        </is>
      </c>
      <c r="D26" s="5" t="inlineStr">
        <is>
          <t>PMID 37269189</t>
        </is>
      </c>
      <c r="E26" s="4" t="inlineStr">
        <is>
          <t>PMID</t>
        </is>
      </c>
    </row>
    <row r="27">
      <c r="A27" s="4" t="inlineStr">
        <is>
          <t>콜레스테롤/지방산</t>
        </is>
      </c>
      <c r="B27" s="4" t="inlineStr">
        <is>
          <t>보습·장벽</t>
        </is>
      </c>
      <c r="C27" s="4" t="inlineStr">
        <is>
          <t>9308554</t>
        </is>
      </c>
      <c r="D27" s="5" t="inlineStr">
        <is>
          <t>PMID 9308554</t>
        </is>
      </c>
      <c r="E27" s="4" t="inlineStr">
        <is>
          <t>PMID</t>
        </is>
      </c>
    </row>
    <row r="28">
      <c r="A28" s="4" t="inlineStr">
        <is>
          <t>디메치콘</t>
        </is>
      </c>
      <c r="B28" s="4" t="inlineStr">
        <is>
          <t>보습·장벽</t>
        </is>
      </c>
      <c r="C28" s="4" t="inlineStr">
        <is>
          <t>26990096</t>
        </is>
      </c>
      <c r="D28" s="5" t="inlineStr">
        <is>
          <t>PMID 26990096</t>
        </is>
      </c>
      <c r="E28" s="4" t="inlineStr">
        <is>
          <t>PMID</t>
        </is>
      </c>
    </row>
    <row r="29">
      <c r="A29" s="4" t="inlineStr">
        <is>
          <t>센텔라아시아티카/병풀</t>
        </is>
      </c>
      <c r="B29" s="4" t="inlineStr">
        <is>
          <t>진정</t>
        </is>
      </c>
      <c r="C29" s="4" t="inlineStr">
        <is>
          <t>39458583</t>
        </is>
      </c>
      <c r="D29" s="5" t="inlineStr">
        <is>
          <t>PMID 39458583</t>
        </is>
      </c>
      <c r="E29" s="4" t="inlineStr">
        <is>
          <t>PMID</t>
        </is>
      </c>
    </row>
    <row r="30">
      <c r="A30" s="4" t="inlineStr">
        <is>
          <t>마데카소사이드</t>
        </is>
      </c>
      <c r="B30" s="4" t="inlineStr">
        <is>
          <t>진정</t>
        </is>
      </c>
      <c r="C30" s="4" t="inlineStr">
        <is>
          <t>36756687</t>
        </is>
      </c>
      <c r="D30" s="5" t="inlineStr">
        <is>
          <t>PMID 36756687</t>
        </is>
      </c>
      <c r="E30" s="4" t="inlineStr">
        <is>
          <t>PMID</t>
        </is>
      </c>
    </row>
    <row r="31">
      <c r="A31" s="11" t="inlineStr">
        <is>
          <t>알란토인</t>
        </is>
      </c>
      <c r="B31" s="11" t="inlineStr">
        <is>
          <t>진정</t>
        </is>
      </c>
      <c r="C31" s="11" t="inlineStr">
        <is>
          <t>(없음)</t>
        </is>
      </c>
      <c r="D31" s="12" t="inlineStr">
        <is>
          <t>https://pmc.ncbi.nlm.nih.gov/articles/PMC7310548/</t>
        </is>
      </c>
      <c r="E31" s="11" t="inlineStr">
        <is>
          <t>PMC</t>
        </is>
      </c>
    </row>
    <row r="32">
      <c r="A32" s="4" t="inlineStr">
        <is>
          <t>콜로이달오트밀</t>
        </is>
      </c>
      <c r="B32" s="4" t="inlineStr">
        <is>
          <t>진정</t>
        </is>
      </c>
      <c r="C32" s="4" t="inlineStr">
        <is>
          <t>28366039</t>
        </is>
      </c>
      <c r="D32" s="5" t="inlineStr">
        <is>
          <t>PMID 28366039</t>
        </is>
      </c>
      <c r="E32" s="4" t="inlineStr">
        <is>
          <t>PMID</t>
        </is>
      </c>
    </row>
    <row r="33">
      <c r="A33" s="4" t="inlineStr">
        <is>
          <t>비사보롤</t>
        </is>
      </c>
      <c r="B33" s="4" t="inlineStr">
        <is>
          <t>진정</t>
        </is>
      </c>
      <c r="C33" s="4" t="inlineStr">
        <is>
          <t>24894548</t>
        </is>
      </c>
      <c r="D33" s="5" t="inlineStr">
        <is>
          <t>PMID 24894548</t>
        </is>
      </c>
      <c r="E33" s="4" t="inlineStr">
        <is>
          <t>PMID</t>
        </is>
      </c>
    </row>
    <row r="34">
      <c r="A34" s="4" t="inlineStr">
        <is>
          <t>AHA</t>
        </is>
      </c>
      <c r="B34" s="4" t="inlineStr">
        <is>
          <t>각질</t>
        </is>
      </c>
      <c r="C34" s="4" t="inlineStr">
        <is>
          <t>8651713</t>
        </is>
      </c>
      <c r="D34" s="5" t="inlineStr">
        <is>
          <t>PMID 8651713</t>
        </is>
      </c>
      <c r="E34" s="4" t="inlineStr">
        <is>
          <t>PMID</t>
        </is>
      </c>
    </row>
    <row r="35">
      <c r="A35" s="4" t="inlineStr">
        <is>
          <t>PHA</t>
        </is>
      </c>
      <c r="B35" s="4" t="inlineStr">
        <is>
          <t>각질</t>
        </is>
      </c>
      <c r="C35" s="4" t="inlineStr">
        <is>
          <t>15002657</t>
        </is>
      </c>
      <c r="D35" s="5" t="inlineStr">
        <is>
          <t>PMID 15002657</t>
        </is>
      </c>
      <c r="E35" s="4" t="inlineStr">
        <is>
          <t>PMID</t>
        </is>
      </c>
    </row>
  </sheetData>
  <mergeCells count="2">
    <mergeCell ref="A2:E2"/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34" customWidth="1" min="3" max="3"/>
    <col width="26" customWidth="1" min="4" max="4"/>
  </cols>
  <sheetData>
    <row r="1" ht="30" customHeight="1">
      <c r="A1" s="1" t="inlineStr">
        <is>
          <t>출처</t>
        </is>
      </c>
    </row>
    <row r="2">
      <c r="A2" s="2" t="inlineStr">
        <is>
          <t>스코어링 마스터가 합친 소스.</t>
        </is>
      </c>
    </row>
    <row r="4" ht="26" customHeight="1">
      <c r="A4" s="3" t="inlineStr">
        <is>
          <t>구분</t>
        </is>
      </c>
      <c r="B4" s="3" t="inlineStr">
        <is>
          <t>파일/출처</t>
        </is>
      </c>
      <c r="C4" s="3" t="inlineStr">
        <is>
          <t>역할</t>
        </is>
      </c>
      <c r="D4" s="3" t="inlineStr">
        <is>
          <t>비고</t>
        </is>
      </c>
    </row>
    <row r="5">
      <c r="A5" s="4" t="inlineStr">
        <is>
          <t>효능등급</t>
        </is>
      </c>
      <c r="B5" s="5" t="inlineStr">
        <is>
          <t>effect_strength_추출v2_QC수정</t>
        </is>
      </c>
      <c r="C5" s="5" t="inlineStr">
        <is>
          <t>es·evidence_trust</t>
        </is>
      </c>
      <c r="D5" s="5" t="inlineStr">
        <is>
          <t>QC 정본</t>
        </is>
      </c>
    </row>
    <row r="6">
      <c r="A6" s="4" t="inlineStr">
        <is>
          <t>적용성/그룹</t>
        </is>
      </c>
      <c r="B6" s="5" t="inlineStr">
        <is>
          <t>mubareullae_30_ingredients_evidence_v6</t>
        </is>
      </c>
      <c r="C6" s="5" t="inlineStr">
        <is>
          <t>score_use_level→주/보조</t>
        </is>
      </c>
      <c r="D6" s="5" t="inlineStr">
        <is>
          <t>30성분</t>
        </is>
      </c>
    </row>
    <row r="7">
      <c r="A7" s="4" t="inlineStr">
        <is>
          <t>적용성·규제 계수</t>
        </is>
      </c>
      <c r="B7" s="5" t="inlineStr">
        <is>
          <t>스코어링_마스터_통합본_v2(정교본)</t>
        </is>
      </c>
      <c r="C7" s="5" t="inlineStr">
        <is>
          <t>applicability·regulatory·et근거</t>
        </is>
      </c>
      <c r="D7" s="5" t="inlineStr">
        <is>
          <t>병합</t>
        </is>
      </c>
    </row>
    <row r="8">
      <c r="A8" s="4" t="inlineStr">
        <is>
          <t>연결·효과크기</t>
        </is>
      </c>
      <c r="B8" s="5" t="inlineStr">
        <is>
          <t>성분_피부고민_연결논문</t>
        </is>
      </c>
      <c r="C8" s="5" t="inlineStr">
        <is>
          <t>효과크기·측정·PMID·URL</t>
        </is>
      </c>
      <c r="D8" s="5" t="inlineStr">
        <is>
          <t>연결표 v3</t>
        </is>
      </c>
    </row>
    <row r="9">
      <c r="A9" s="4" t="inlineStr">
        <is>
          <t>함량</t>
        </is>
      </c>
      <c r="B9" s="5" t="inlineStr">
        <is>
          <t>concentration_to_score_v2</t>
        </is>
      </c>
      <c r="C9" s="5" t="inlineStr">
        <is>
          <t>함량점수·함량신뢰도</t>
        </is>
      </c>
      <c r="D9" s="5" t="inlineStr">
        <is>
          <t>제품별 입력</t>
        </is>
      </c>
    </row>
    <row r="10">
      <c r="A10" s="4" t="inlineStr">
        <is>
          <t>제품 공식</t>
        </is>
      </c>
      <c r="B10" s="5" t="inlineStr">
        <is>
          <t>product_clean_score_formula_v1</t>
        </is>
      </c>
      <c r="C10" s="5" t="inlineStr">
        <is>
          <t>성분기여→제품점수</t>
        </is>
      </c>
      <c r="D10" s="5" t="inlineStr">
        <is>
          <t>다음 단계</t>
        </is>
      </c>
    </row>
    <row r="11">
      <c r="A11" s="4" t="inlineStr">
        <is>
          <t>논문 DB</t>
        </is>
      </c>
      <c r="B11" s="5" t="inlineStr">
        <is>
          <t>30개_성분..._90편</t>
        </is>
      </c>
      <c r="C11" s="5" t="inlineStr">
        <is>
          <t>PMID 추적</t>
        </is>
      </c>
      <c r="D11" s="5" t="inlineStr">
        <is>
          <t>100% 일치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2026-06-27T01:00:37Z</dcterms:created>
  <dcterms:modified xmlns:dcterms="http://purl.org/dc/terms/" xmlns:xsi="http://www.w3.org/2001/XMLSchema-instance" xsi:type="dcterms:W3CDTF">2026-06-27T01:00:37Z</dcterms:modified>
</cp:coreProperties>
</file>